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mariafernandadelmarharo/Desktop/INDEP/"/>
    </mc:Choice>
  </mc:AlternateContent>
  <xr:revisionPtr revIDLastSave="0" documentId="8_{502A3A91-8F00-6F45-913F-FB2B160DAE94}" xr6:coauthVersionLast="47" xr6:coauthVersionMax="47" xr10:uidLastSave="{00000000-0000-0000-0000-000000000000}"/>
  <bookViews>
    <workbookView xWindow="0" yWindow="720" windowWidth="29400" windowHeight="18400" tabRatio="788" activeTab="3" xr2:uid="{00000000-000D-0000-FFFF-FFFF00000000}"/>
  </bookViews>
  <sheets>
    <sheet name="PD" sheetId="31" r:id="rId1"/>
    <sheet name="Préstamo Expansión" sheetId="28" r:id="rId2"/>
    <sheet name="Sub23" sheetId="16" r:id="rId3"/>
    <sheet name="Sub18" sheetId="23" r:id="rId4"/>
    <sheet name="Sub16" sheetId="24" r:id="rId5"/>
    <sheet name="Sub14" sheetId="29" r:id="rId6"/>
    <sheet name="Femenil" sheetId="26" r:id="rId7"/>
    <sheet name="Fem Sub 19" sheetId="30" r:id="rId8"/>
    <sheet name="VT" sheetId="7" state="hidden" r:id="rId9"/>
  </sheets>
  <externalReferences>
    <externalReference r:id="rId10"/>
    <externalReference r:id="rId11"/>
  </externalReferences>
  <definedNames>
    <definedName name="_xlnm._FilterDatabase" localSheetId="7" hidden="1">'Fem Sub 19'!$A$2:$R$43</definedName>
    <definedName name="_xlnm._FilterDatabase" localSheetId="6" hidden="1">Femenil!$A$2:$Q$26</definedName>
    <definedName name="_xlnm._FilterDatabase" localSheetId="0" hidden="1">PD!$A$2:$R$26</definedName>
    <definedName name="_xlnm._FilterDatabase" localSheetId="1" hidden="1">'Préstamo Expansión'!$A$2:$I$2</definedName>
    <definedName name="_xlnm._FilterDatabase" localSheetId="5" hidden="1">'Sub14'!$A$2:$Q$40</definedName>
    <definedName name="_xlnm._FilterDatabase" localSheetId="4" hidden="1">'Sub16'!$A$2:$Q$40</definedName>
    <definedName name="_xlnm._FilterDatabase" localSheetId="3" hidden="1">'Sub18'!$A$2:$R$31</definedName>
    <definedName name="_xlnm._FilterDatabase" localSheetId="2" hidden="1">'Sub23'!$A$2:$W$24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6" l="1"/>
  <c r="J21" i="16"/>
  <c r="K21" i="16" s="1"/>
  <c r="L12" i="16"/>
  <c r="J12" i="16"/>
  <c r="K12" i="16" s="1"/>
  <c r="M21" i="16" l="1"/>
  <c r="M12" i="16"/>
  <c r="N21" i="16" l="1"/>
  <c r="O21" i="16" s="1"/>
  <c r="P21" i="16" s="1"/>
  <c r="I21" i="16" s="1"/>
  <c r="N12" i="16"/>
  <c r="O12" i="16" s="1"/>
  <c r="P12" i="16" s="1"/>
  <c r="I12" i="16" s="1"/>
  <c r="I17" i="16" l="1"/>
  <c r="L9" i="16"/>
  <c r="J9" i="16"/>
  <c r="K9" i="16" s="1"/>
  <c r="M9" i="16" l="1"/>
  <c r="N9" i="16" l="1"/>
  <c r="O9" i="16" s="1"/>
  <c r="P9" i="16" s="1"/>
  <c r="I9" i="16" s="1"/>
  <c r="I1" i="31" l="1"/>
  <c r="H10" i="31" s="1"/>
  <c r="I10" i="31" s="1"/>
  <c r="H16" i="31" l="1"/>
  <c r="I16" i="31" s="1"/>
  <c r="H5" i="31"/>
  <c r="I5" i="31" s="1"/>
  <c r="H32" i="31"/>
  <c r="I32" i="31" s="1"/>
  <c r="H8" i="31"/>
  <c r="I8" i="31" s="1"/>
  <c r="H6" i="31"/>
  <c r="I6" i="31" s="1"/>
  <c r="H6" i="28"/>
  <c r="I6" i="28" s="1"/>
  <c r="H22" i="31"/>
  <c r="I22" i="31" s="1"/>
  <c r="H30" i="31"/>
  <c r="I30" i="31" s="1"/>
  <c r="H13" i="31"/>
  <c r="I13" i="31" s="1"/>
  <c r="H26" i="31"/>
  <c r="I26" i="31" s="1"/>
  <c r="H3" i="31"/>
  <c r="I3" i="31" s="1"/>
  <c r="H9" i="31"/>
  <c r="I9" i="31" s="1"/>
  <c r="H11" i="31"/>
  <c r="I11" i="31" s="1"/>
  <c r="H5" i="28"/>
  <c r="H19" i="31"/>
  <c r="I19" i="31" s="1"/>
  <c r="H25" i="31"/>
  <c r="I25" i="31" s="1"/>
  <c r="H31" i="31"/>
  <c r="I31" i="31" s="1"/>
  <c r="H15" i="31"/>
  <c r="I15" i="31" s="1"/>
  <c r="H20" i="31"/>
  <c r="I20" i="31" s="1"/>
  <c r="H21" i="31"/>
  <c r="I21" i="31" s="1"/>
  <c r="H4" i="31"/>
  <c r="I4" i="31" s="1"/>
  <c r="H12" i="31"/>
  <c r="I12" i="31" s="1"/>
  <c r="H17" i="31"/>
  <c r="I17" i="31" s="1"/>
  <c r="H24" i="31"/>
  <c r="I24" i="31" s="1"/>
  <c r="H7" i="31"/>
  <c r="I7" i="31" s="1"/>
  <c r="H23" i="31"/>
  <c r="I23" i="31" s="1"/>
  <c r="H18" i="31"/>
  <c r="I18" i="31" s="1"/>
  <c r="H14" i="31"/>
  <c r="I14" i="31" s="1"/>
  <c r="I5" i="28" l="1"/>
  <c r="K1" i="30" l="1"/>
  <c r="K1" i="29"/>
  <c r="L10" i="30" l="1"/>
  <c r="J10" i="30"/>
  <c r="K10" i="30" s="1"/>
  <c r="L18" i="30"/>
  <c r="J18" i="30"/>
  <c r="K18" i="30" s="1"/>
  <c r="L33" i="30"/>
  <c r="J33" i="30"/>
  <c r="K33" i="30" s="1"/>
  <c r="J23" i="30"/>
  <c r="K23" i="30" s="1"/>
  <c r="L23" i="30"/>
  <c r="L7" i="30"/>
  <c r="J7" i="30"/>
  <c r="K7" i="30" s="1"/>
  <c r="L9" i="30"/>
  <c r="J9" i="30"/>
  <c r="K9" i="30" s="1"/>
  <c r="J3" i="30"/>
  <c r="K3" i="30" s="1"/>
  <c r="L3" i="30"/>
  <c r="L39" i="30"/>
  <c r="J39" i="30"/>
  <c r="K39" i="30" s="1"/>
  <c r="L42" i="30"/>
  <c r="J42" i="30"/>
  <c r="K42" i="30" s="1"/>
  <c r="L32" i="30"/>
  <c r="J32" i="30"/>
  <c r="K32" i="30" s="1"/>
  <c r="L20" i="30"/>
  <c r="J20" i="30"/>
  <c r="K20" i="30" s="1"/>
  <c r="L34" i="30"/>
  <c r="J34" i="30"/>
  <c r="K34" i="30" s="1"/>
  <c r="J17" i="30"/>
  <c r="K17" i="30" s="1"/>
  <c r="L17" i="30"/>
  <c r="L12" i="30"/>
  <c r="J12" i="30"/>
  <c r="K12" i="30" s="1"/>
  <c r="L25" i="30"/>
  <c r="J25" i="30"/>
  <c r="K25" i="30" s="1"/>
  <c r="L19" i="30"/>
  <c r="J19" i="30"/>
  <c r="K19" i="30" s="1"/>
  <c r="L16" i="30"/>
  <c r="J16" i="30"/>
  <c r="K16" i="30" s="1"/>
  <c r="L8" i="30"/>
  <c r="J8" i="30"/>
  <c r="K8" i="30" s="1"/>
  <c r="L14" i="26"/>
  <c r="J14" i="26"/>
  <c r="K14" i="26" s="1"/>
  <c r="L25" i="26"/>
  <c r="J25" i="26"/>
  <c r="K25" i="26" s="1"/>
  <c r="L14" i="29"/>
  <c r="J14" i="29"/>
  <c r="K14" i="29" s="1"/>
  <c r="J39" i="29"/>
  <c r="K39" i="29" s="1"/>
  <c r="L39" i="29"/>
  <c r="J28" i="29"/>
  <c r="K28" i="29" s="1"/>
  <c r="L28" i="29"/>
  <c r="L38" i="29"/>
  <c r="J38" i="29"/>
  <c r="K38" i="29" s="1"/>
  <c r="J25" i="29"/>
  <c r="K25" i="29" s="1"/>
  <c r="L25" i="29"/>
  <c r="L6" i="29"/>
  <c r="M6" i="29" s="1"/>
  <c r="J6" i="29"/>
  <c r="K6" i="29" s="1"/>
  <c r="J30" i="29"/>
  <c r="K30" i="29" s="1"/>
  <c r="L30" i="29"/>
  <c r="J20" i="29"/>
  <c r="K20" i="29" s="1"/>
  <c r="L20" i="29"/>
  <c r="L26" i="29"/>
  <c r="J26" i="29"/>
  <c r="K26" i="29" s="1"/>
  <c r="L31" i="29"/>
  <c r="J31" i="29"/>
  <c r="K31" i="29" s="1"/>
  <c r="L21" i="29"/>
  <c r="J21" i="29"/>
  <c r="K21" i="29" s="1"/>
  <c r="L5" i="29"/>
  <c r="J5" i="29"/>
  <c r="K5" i="29" s="1"/>
  <c r="J28" i="24"/>
  <c r="K28" i="24" s="1"/>
  <c r="L28" i="24"/>
  <c r="L18" i="24"/>
  <c r="J18" i="24"/>
  <c r="K18" i="24" s="1"/>
  <c r="L15" i="24"/>
  <c r="J15" i="24"/>
  <c r="K15" i="24" s="1"/>
  <c r="L7" i="24"/>
  <c r="J7" i="24"/>
  <c r="K7" i="24" s="1"/>
  <c r="L5" i="24"/>
  <c r="J5" i="24"/>
  <c r="K5" i="24" s="1"/>
  <c r="J37" i="24"/>
  <c r="K37" i="24" s="1"/>
  <c r="L37" i="24"/>
  <c r="J22" i="24"/>
  <c r="K22" i="24" s="1"/>
  <c r="L22" i="24"/>
  <c r="J19" i="24"/>
  <c r="K19" i="24" s="1"/>
  <c r="L19" i="24"/>
  <c r="L9" i="24"/>
  <c r="J9" i="24"/>
  <c r="K9" i="24" s="1"/>
  <c r="J32" i="24"/>
  <c r="K32" i="24" s="1"/>
  <c r="L32" i="24"/>
  <c r="L25" i="24"/>
  <c r="J25" i="24"/>
  <c r="K25" i="24" s="1"/>
  <c r="L35" i="24"/>
  <c r="J35" i="24"/>
  <c r="K35" i="24" s="1"/>
  <c r="L40" i="24"/>
  <c r="J40" i="24"/>
  <c r="K40" i="24" s="1"/>
  <c r="L30" i="24"/>
  <c r="J30" i="24"/>
  <c r="K30" i="24" s="1"/>
  <c r="J11" i="24"/>
  <c r="K11" i="24" s="1"/>
  <c r="L11" i="24"/>
  <c r="L11" i="30"/>
  <c r="M11" i="30" s="1"/>
  <c r="J11" i="30"/>
  <c r="K11" i="30" s="1"/>
  <c r="L41" i="30"/>
  <c r="M41" i="30" s="1"/>
  <c r="J41" i="30"/>
  <c r="K41" i="30" s="1"/>
  <c r="L43" i="30"/>
  <c r="J43" i="30"/>
  <c r="K43" i="30" s="1"/>
  <c r="J21" i="30"/>
  <c r="K21" i="30" s="1"/>
  <c r="L21" i="30"/>
  <c r="J28" i="30"/>
  <c r="K28" i="30" s="1"/>
  <c r="L28" i="30"/>
  <c r="L4" i="29"/>
  <c r="J4" i="29"/>
  <c r="K4" i="29" s="1"/>
  <c r="L34" i="29"/>
  <c r="J34" i="29"/>
  <c r="K34" i="29" s="1"/>
  <c r="L10" i="29"/>
  <c r="J10" i="29"/>
  <c r="K10" i="29" s="1"/>
  <c r="L23" i="29"/>
  <c r="J23" i="29"/>
  <c r="K23" i="29" s="1"/>
  <c r="L35" i="29"/>
  <c r="J35" i="29"/>
  <c r="K35" i="29" s="1"/>
  <c r="L11" i="29"/>
  <c r="J11" i="29"/>
  <c r="K11" i="29" s="1"/>
  <c r="L29" i="29"/>
  <c r="J29" i="29"/>
  <c r="K29" i="29" s="1"/>
  <c r="L32" i="29"/>
  <c r="J32" i="29"/>
  <c r="K32" i="29" s="1"/>
  <c r="J8" i="29"/>
  <c r="K8" i="29" s="1"/>
  <c r="L8" i="29"/>
  <c r="L37" i="29"/>
  <c r="J37" i="29"/>
  <c r="K37" i="29" s="1"/>
  <c r="L36" i="29"/>
  <c r="J36" i="29"/>
  <c r="K36" i="29" s="1"/>
  <c r="L15" i="29"/>
  <c r="J15" i="29"/>
  <c r="K15" i="29" s="1"/>
  <c r="J12" i="29"/>
  <c r="K12" i="29" s="1"/>
  <c r="L12" i="29"/>
  <c r="J33" i="29"/>
  <c r="K33" i="29" s="1"/>
  <c r="L33" i="29"/>
  <c r="L3" i="29"/>
  <c r="J3" i="29"/>
  <c r="K3" i="29" s="1"/>
  <c r="L7" i="29"/>
  <c r="J7" i="29"/>
  <c r="K7" i="29" s="1"/>
  <c r="L12" i="24"/>
  <c r="J12" i="24"/>
  <c r="K12" i="24" s="1"/>
  <c r="J21" i="24"/>
  <c r="K21" i="24" s="1"/>
  <c r="L21" i="24"/>
  <c r="J6" i="24"/>
  <c r="K6" i="24" s="1"/>
  <c r="L6" i="24"/>
  <c r="J39" i="24"/>
  <c r="K39" i="24" s="1"/>
  <c r="L39" i="24"/>
  <c r="L10" i="24"/>
  <c r="J10" i="24"/>
  <c r="K10" i="24" s="1"/>
  <c r="J13" i="24"/>
  <c r="K13" i="24" s="1"/>
  <c r="L13" i="24"/>
  <c r="L14" i="24"/>
  <c r="J14" i="24"/>
  <c r="K14" i="24" s="1"/>
  <c r="J23" i="24"/>
  <c r="K23" i="24" s="1"/>
  <c r="L23" i="24"/>
  <c r="J34" i="24"/>
  <c r="K34" i="24" s="1"/>
  <c r="L34" i="24"/>
  <c r="J20" i="24"/>
  <c r="K20" i="24" s="1"/>
  <c r="L20" i="24"/>
  <c r="J22" i="29"/>
  <c r="K22" i="29" s="1"/>
  <c r="L22" i="29"/>
  <c r="L40" i="30"/>
  <c r="J40" i="30"/>
  <c r="K40" i="30" s="1"/>
  <c r="L38" i="30"/>
  <c r="M38" i="30" s="1"/>
  <c r="J38" i="30"/>
  <c r="K38" i="30" s="1"/>
  <c r="J36" i="30"/>
  <c r="K36" i="30" s="1"/>
  <c r="L36" i="30"/>
  <c r="L35" i="30"/>
  <c r="M35" i="30" s="1"/>
  <c r="J35" i="30"/>
  <c r="K35" i="30" s="1"/>
  <c r="L30" i="30"/>
  <c r="J30" i="30"/>
  <c r="K30" i="30" s="1"/>
  <c r="J27" i="24"/>
  <c r="K27" i="24" s="1"/>
  <c r="L27" i="24"/>
  <c r="L31" i="24"/>
  <c r="J31" i="24"/>
  <c r="K31" i="24" s="1"/>
  <c r="L8" i="24"/>
  <c r="J8" i="24"/>
  <c r="K8" i="24" s="1"/>
  <c r="L36" i="24"/>
  <c r="J36" i="24"/>
  <c r="K36" i="24" s="1"/>
  <c r="L33" i="24"/>
  <c r="J33" i="24"/>
  <c r="K33" i="24" s="1"/>
  <c r="L16" i="24"/>
  <c r="J16" i="24"/>
  <c r="K16" i="24" s="1"/>
  <c r="L26" i="24"/>
  <c r="J26" i="24"/>
  <c r="K26" i="24" s="1"/>
  <c r="L4" i="24"/>
  <c r="J4" i="24"/>
  <c r="K4" i="24" s="1"/>
  <c r="L17" i="24"/>
  <c r="J17" i="24"/>
  <c r="K17" i="24" s="1"/>
  <c r="L37" i="30"/>
  <c r="L31" i="30"/>
  <c r="J6" i="30"/>
  <c r="K6" i="30" s="1"/>
  <c r="J5" i="30"/>
  <c r="K5" i="30" s="1"/>
  <c r="L29" i="30"/>
  <c r="J4" i="30"/>
  <c r="K4" i="30" s="1"/>
  <c r="J16" i="29"/>
  <c r="K16" i="29" s="1"/>
  <c r="L19" i="29"/>
  <c r="L16" i="29"/>
  <c r="J17" i="29"/>
  <c r="K17" i="29" s="1"/>
  <c r="J13" i="29"/>
  <c r="K13" i="29" s="1"/>
  <c r="J40" i="29"/>
  <c r="K40" i="29" s="1"/>
  <c r="L17" i="29"/>
  <c r="L13" i="29"/>
  <c r="J18" i="29"/>
  <c r="K18" i="29" s="1"/>
  <c r="L40" i="29"/>
  <c r="J9" i="29"/>
  <c r="K9" i="29" s="1"/>
  <c r="J24" i="29"/>
  <c r="K24" i="29" s="1"/>
  <c r="L14" i="30"/>
  <c r="J13" i="30"/>
  <c r="K13" i="30" s="1"/>
  <c r="L6" i="30"/>
  <c r="M6" i="30" s="1"/>
  <c r="J19" i="29"/>
  <c r="K19" i="29" s="1"/>
  <c r="L24" i="29"/>
  <c r="J37" i="30"/>
  <c r="K37" i="30" s="1"/>
  <c r="J15" i="30"/>
  <c r="K15" i="30" s="1"/>
  <c r="J26" i="30"/>
  <c r="K26" i="30" s="1"/>
  <c r="J29" i="30"/>
  <c r="K29" i="30" s="1"/>
  <c r="J24" i="30"/>
  <c r="K24" i="30" s="1"/>
  <c r="J27" i="30"/>
  <c r="K27" i="30" s="1"/>
  <c r="J22" i="30"/>
  <c r="K22" i="30" s="1"/>
  <c r="L27" i="30"/>
  <c r="L5" i="30"/>
  <c r="L15" i="30"/>
  <c r="L24" i="30"/>
  <c r="J14" i="30"/>
  <c r="K14" i="30" s="1"/>
  <c r="L4" i="30"/>
  <c r="J31" i="30"/>
  <c r="K31" i="30" s="1"/>
  <c r="L13" i="30"/>
  <c r="L26" i="30"/>
  <c r="L22" i="30"/>
  <c r="L9" i="29"/>
  <c r="L18" i="29"/>
  <c r="M10" i="30" l="1"/>
  <c r="M18" i="30"/>
  <c r="N18" i="30" s="1"/>
  <c r="O18" i="30" s="1"/>
  <c r="P18" i="30" s="1"/>
  <c r="I18" i="30" s="1"/>
  <c r="M33" i="30"/>
  <c r="N33" i="30" s="1"/>
  <c r="O33" i="30" s="1"/>
  <c r="P33" i="30" s="1"/>
  <c r="I33" i="30" s="1"/>
  <c r="M23" i="30"/>
  <c r="N23" i="30" s="1"/>
  <c r="O23" i="30" s="1"/>
  <c r="P23" i="30" s="1"/>
  <c r="M7" i="30"/>
  <c r="N7" i="30" s="1"/>
  <c r="O7" i="30" s="1"/>
  <c r="P7" i="30" s="1"/>
  <c r="M9" i="30"/>
  <c r="N9" i="30" s="1"/>
  <c r="O9" i="30" s="1"/>
  <c r="P9" i="30" s="1"/>
  <c r="I9" i="30" s="1"/>
  <c r="M3" i="30"/>
  <c r="M39" i="30"/>
  <c r="N39" i="30" s="1"/>
  <c r="O39" i="30" s="1"/>
  <c r="P39" i="30" s="1"/>
  <c r="I39" i="30" s="1"/>
  <c r="M42" i="30"/>
  <c r="N42" i="30" s="1"/>
  <c r="O42" i="30" s="1"/>
  <c r="P42" i="30" s="1"/>
  <c r="M32" i="30"/>
  <c r="N32" i="30" s="1"/>
  <c r="O32" i="30" s="1"/>
  <c r="P32" i="30" s="1"/>
  <c r="I32" i="30" s="1"/>
  <c r="M20" i="30"/>
  <c r="N20" i="30" s="1"/>
  <c r="O20" i="30" s="1"/>
  <c r="P20" i="30" s="1"/>
  <c r="I20" i="30" s="1"/>
  <c r="M34" i="30"/>
  <c r="N34" i="30" s="1"/>
  <c r="O34" i="30" s="1"/>
  <c r="P34" i="30" s="1"/>
  <c r="I34" i="30" s="1"/>
  <c r="M17" i="30"/>
  <c r="N17" i="30" s="1"/>
  <c r="O17" i="30" s="1"/>
  <c r="P17" i="30" s="1"/>
  <c r="I17" i="30" s="1"/>
  <c r="M12" i="30"/>
  <c r="N12" i="30" s="1"/>
  <c r="O12" i="30" s="1"/>
  <c r="P12" i="30" s="1"/>
  <c r="I12" i="30" s="1"/>
  <c r="M25" i="30"/>
  <c r="N25" i="30" s="1"/>
  <c r="O25" i="30" s="1"/>
  <c r="P25" i="30" s="1"/>
  <c r="I25" i="30" s="1"/>
  <c r="M19" i="30"/>
  <c r="N19" i="30" s="1"/>
  <c r="O19" i="30" s="1"/>
  <c r="P19" i="30" s="1"/>
  <c r="I19" i="30" s="1"/>
  <c r="M16" i="30"/>
  <c r="N16" i="30" s="1"/>
  <c r="O16" i="30" s="1"/>
  <c r="P16" i="30" s="1"/>
  <c r="M8" i="30"/>
  <c r="M14" i="26"/>
  <c r="M25" i="26"/>
  <c r="M14" i="29"/>
  <c r="N14" i="29" s="1"/>
  <c r="O14" i="29" s="1"/>
  <c r="P14" i="29" s="1"/>
  <c r="I14" i="29" s="1"/>
  <c r="M39" i="29"/>
  <c r="N39" i="29" s="1"/>
  <c r="O39" i="29" s="1"/>
  <c r="P39" i="29" s="1"/>
  <c r="M28" i="29"/>
  <c r="M38" i="29"/>
  <c r="N38" i="29" s="1"/>
  <c r="O38" i="29" s="1"/>
  <c r="P38" i="29" s="1"/>
  <c r="I38" i="29" s="1"/>
  <c r="M25" i="29"/>
  <c r="N25" i="29" s="1"/>
  <c r="O25" i="29" s="1"/>
  <c r="P25" i="29" s="1"/>
  <c r="I25" i="29" s="1"/>
  <c r="N6" i="29"/>
  <c r="O6" i="29" s="1"/>
  <c r="P6" i="29" s="1"/>
  <c r="I6" i="29" s="1"/>
  <c r="M30" i="29"/>
  <c r="N30" i="29" s="1"/>
  <c r="O30" i="29" s="1"/>
  <c r="P30" i="29" s="1"/>
  <c r="I30" i="29" s="1"/>
  <c r="M20" i="29"/>
  <c r="N20" i="29" s="1"/>
  <c r="O20" i="29" s="1"/>
  <c r="P20" i="29" s="1"/>
  <c r="I20" i="29" s="1"/>
  <c r="M26" i="29"/>
  <c r="N26" i="29" s="1"/>
  <c r="O26" i="29" s="1"/>
  <c r="P26" i="29" s="1"/>
  <c r="I26" i="29" s="1"/>
  <c r="M31" i="29"/>
  <c r="N31" i="29" s="1"/>
  <c r="O31" i="29" s="1"/>
  <c r="P31" i="29" s="1"/>
  <c r="I31" i="29" s="1"/>
  <c r="M21" i="29"/>
  <c r="M5" i="29"/>
  <c r="N5" i="29" s="1"/>
  <c r="O5" i="29" s="1"/>
  <c r="P5" i="29" s="1"/>
  <c r="I5" i="29" s="1"/>
  <c r="M28" i="24"/>
  <c r="M18" i="24"/>
  <c r="M15" i="24"/>
  <c r="M7" i="24"/>
  <c r="M5" i="24"/>
  <c r="M37" i="24"/>
  <c r="M22" i="24"/>
  <c r="M19" i="24"/>
  <c r="M9" i="24"/>
  <c r="M32" i="24"/>
  <c r="M25" i="24"/>
  <c r="M35" i="24"/>
  <c r="M40" i="24"/>
  <c r="M30" i="24"/>
  <c r="M11" i="24"/>
  <c r="N11" i="30"/>
  <c r="O11" i="30" s="1"/>
  <c r="P11" i="30" s="1"/>
  <c r="I11" i="30" s="1"/>
  <c r="N41" i="30"/>
  <c r="O41" i="30" s="1"/>
  <c r="P41" i="30" s="1"/>
  <c r="I41" i="30" s="1"/>
  <c r="M43" i="30"/>
  <c r="M21" i="30"/>
  <c r="N21" i="30" s="1"/>
  <c r="O21" i="30" s="1"/>
  <c r="P21" i="30" s="1"/>
  <c r="I21" i="30" s="1"/>
  <c r="M28" i="30"/>
  <c r="N28" i="30" s="1"/>
  <c r="O28" i="30" s="1"/>
  <c r="P28" i="30" s="1"/>
  <c r="I28" i="30" s="1"/>
  <c r="M4" i="29"/>
  <c r="M34" i="29"/>
  <c r="M10" i="29"/>
  <c r="M23" i="29"/>
  <c r="N23" i="29" s="1"/>
  <c r="O23" i="29" s="1"/>
  <c r="P23" i="29" s="1"/>
  <c r="I23" i="29" s="1"/>
  <c r="M35" i="29"/>
  <c r="N35" i="29" s="1"/>
  <c r="O35" i="29" s="1"/>
  <c r="P35" i="29" s="1"/>
  <c r="M11" i="29"/>
  <c r="N11" i="29" s="1"/>
  <c r="O11" i="29" s="1"/>
  <c r="P11" i="29" s="1"/>
  <c r="I11" i="29" s="1"/>
  <c r="M29" i="29"/>
  <c r="N29" i="29" s="1"/>
  <c r="O29" i="29" s="1"/>
  <c r="P29" i="29" s="1"/>
  <c r="I29" i="29" s="1"/>
  <c r="M32" i="29"/>
  <c r="M8" i="29"/>
  <c r="M37" i="29"/>
  <c r="N37" i="29" s="1"/>
  <c r="O37" i="29" s="1"/>
  <c r="P37" i="29" s="1"/>
  <c r="M36" i="29"/>
  <c r="N36" i="29" s="1"/>
  <c r="O36" i="29" s="1"/>
  <c r="P36" i="29" s="1"/>
  <c r="M15" i="29"/>
  <c r="N15" i="29" s="1"/>
  <c r="O15" i="29" s="1"/>
  <c r="P15" i="29" s="1"/>
  <c r="I15" i="29" s="1"/>
  <c r="M12" i="29"/>
  <c r="M33" i="29"/>
  <c r="N33" i="29" s="1"/>
  <c r="O33" i="29" s="1"/>
  <c r="P33" i="29" s="1"/>
  <c r="I33" i="29" s="1"/>
  <c r="M3" i="29"/>
  <c r="N3" i="29" s="1"/>
  <c r="O3" i="29" s="1"/>
  <c r="P3" i="29" s="1"/>
  <c r="I3" i="29" s="1"/>
  <c r="M7" i="29"/>
  <c r="M12" i="24"/>
  <c r="M21" i="24"/>
  <c r="M6" i="24"/>
  <c r="M39" i="24"/>
  <c r="M10" i="24"/>
  <c r="M13" i="24"/>
  <c r="M14" i="24"/>
  <c r="M23" i="24"/>
  <c r="M34" i="24"/>
  <c r="M20" i="24"/>
  <c r="M22" i="29"/>
  <c r="M40" i="30"/>
  <c r="N38" i="30"/>
  <c r="O38" i="30" s="1"/>
  <c r="P38" i="30" s="1"/>
  <c r="I38" i="30" s="1"/>
  <c r="M36" i="30"/>
  <c r="N36" i="30" s="1"/>
  <c r="O36" i="30" s="1"/>
  <c r="P36" i="30" s="1"/>
  <c r="N35" i="30"/>
  <c r="O35" i="30" s="1"/>
  <c r="P35" i="30" s="1"/>
  <c r="I35" i="30" s="1"/>
  <c r="M30" i="30"/>
  <c r="M27" i="24"/>
  <c r="M31" i="24"/>
  <c r="M8" i="24"/>
  <c r="M36" i="24"/>
  <c r="M33" i="24"/>
  <c r="M16" i="24"/>
  <c r="M26" i="24"/>
  <c r="M4" i="24"/>
  <c r="M17" i="24"/>
  <c r="M37" i="30"/>
  <c r="M31" i="30"/>
  <c r="M29" i="30"/>
  <c r="M19" i="29"/>
  <c r="M16" i="29"/>
  <c r="M17" i="29"/>
  <c r="M13" i="29"/>
  <c r="M40" i="29"/>
  <c r="M14" i="30"/>
  <c r="M24" i="29"/>
  <c r="N6" i="30"/>
  <c r="O6" i="30" s="1"/>
  <c r="P6" i="30" s="1"/>
  <c r="M24" i="30"/>
  <c r="M5" i="30"/>
  <c r="M13" i="30"/>
  <c r="M26" i="30"/>
  <c r="M22" i="30"/>
  <c r="M4" i="30"/>
  <c r="M27" i="30"/>
  <c r="M15" i="30"/>
  <c r="M9" i="29"/>
  <c r="M18" i="29"/>
  <c r="N10" i="30" l="1"/>
  <c r="O10" i="30" s="1"/>
  <c r="P10" i="30" s="1"/>
  <c r="I10" i="30" s="1"/>
  <c r="I23" i="30"/>
  <c r="I7" i="30"/>
  <c r="N3" i="30"/>
  <c r="O3" i="30" s="1"/>
  <c r="P3" i="30" s="1"/>
  <c r="I3" i="30" s="1"/>
  <c r="I42" i="30"/>
  <c r="I16" i="30"/>
  <c r="N8" i="30"/>
  <c r="O8" i="30" s="1"/>
  <c r="P8" i="30" s="1"/>
  <c r="I8" i="30" s="1"/>
  <c r="N14" i="26"/>
  <c r="O14" i="26" s="1"/>
  <c r="P14" i="26" s="1"/>
  <c r="I14" i="26" s="1"/>
  <c r="N25" i="26"/>
  <c r="O25" i="26" s="1"/>
  <c r="P25" i="26" s="1"/>
  <c r="I25" i="26" s="1"/>
  <c r="I39" i="29"/>
  <c r="N28" i="29"/>
  <c r="O28" i="29" s="1"/>
  <c r="P28" i="29" s="1"/>
  <c r="I28" i="29" s="1"/>
  <c r="N21" i="29"/>
  <c r="O21" i="29" s="1"/>
  <c r="P21" i="29" s="1"/>
  <c r="I21" i="29" s="1"/>
  <c r="N28" i="24"/>
  <c r="O28" i="24" s="1"/>
  <c r="P28" i="24" s="1"/>
  <c r="I28" i="24" s="1"/>
  <c r="N18" i="24"/>
  <c r="O18" i="24" s="1"/>
  <c r="P18" i="24" s="1"/>
  <c r="I18" i="24" s="1"/>
  <c r="N15" i="24"/>
  <c r="O15" i="24" s="1"/>
  <c r="P15" i="24" s="1"/>
  <c r="I15" i="24" s="1"/>
  <c r="N7" i="24"/>
  <c r="O7" i="24" s="1"/>
  <c r="P7" i="24" s="1"/>
  <c r="I7" i="24" s="1"/>
  <c r="N5" i="24"/>
  <c r="O5" i="24" s="1"/>
  <c r="P5" i="24" s="1"/>
  <c r="I5" i="24" s="1"/>
  <c r="N37" i="24"/>
  <c r="O37" i="24" s="1"/>
  <c r="P37" i="24" s="1"/>
  <c r="I37" i="24" s="1"/>
  <c r="N22" i="24"/>
  <c r="O22" i="24" s="1"/>
  <c r="P22" i="24" s="1"/>
  <c r="I22" i="24" s="1"/>
  <c r="N19" i="24"/>
  <c r="O19" i="24" s="1"/>
  <c r="P19" i="24" s="1"/>
  <c r="I19" i="24" s="1"/>
  <c r="N9" i="24"/>
  <c r="O9" i="24" s="1"/>
  <c r="P9" i="24" s="1"/>
  <c r="I9" i="24" s="1"/>
  <c r="N32" i="24"/>
  <c r="O32" i="24" s="1"/>
  <c r="P32" i="24" s="1"/>
  <c r="I32" i="24" s="1"/>
  <c r="N25" i="24"/>
  <c r="O25" i="24" s="1"/>
  <c r="P25" i="24" s="1"/>
  <c r="I25" i="24" s="1"/>
  <c r="N35" i="24"/>
  <c r="O35" i="24" s="1"/>
  <c r="P35" i="24" s="1"/>
  <c r="I35" i="24" s="1"/>
  <c r="N40" i="24"/>
  <c r="O40" i="24" s="1"/>
  <c r="P40" i="24" s="1"/>
  <c r="I40" i="24" s="1"/>
  <c r="N30" i="24"/>
  <c r="O30" i="24" s="1"/>
  <c r="P30" i="24" s="1"/>
  <c r="I30" i="24" s="1"/>
  <c r="N11" i="24"/>
  <c r="O11" i="24" s="1"/>
  <c r="P11" i="24" s="1"/>
  <c r="I11" i="24" s="1"/>
  <c r="N43" i="30"/>
  <c r="O43" i="30" s="1"/>
  <c r="P43" i="30" s="1"/>
  <c r="I43" i="30" s="1"/>
  <c r="N4" i="29"/>
  <c r="O4" i="29" s="1"/>
  <c r="P4" i="29" s="1"/>
  <c r="I4" i="29" s="1"/>
  <c r="N34" i="29"/>
  <c r="O34" i="29" s="1"/>
  <c r="P34" i="29" s="1"/>
  <c r="I34" i="29" s="1"/>
  <c r="N10" i="29"/>
  <c r="O10" i="29" s="1"/>
  <c r="P10" i="29" s="1"/>
  <c r="I10" i="29" s="1"/>
  <c r="I35" i="29"/>
  <c r="N32" i="29"/>
  <c r="O32" i="29" s="1"/>
  <c r="P32" i="29" s="1"/>
  <c r="I32" i="29" s="1"/>
  <c r="N8" i="29"/>
  <c r="O8" i="29" s="1"/>
  <c r="P8" i="29" s="1"/>
  <c r="I8" i="29" s="1"/>
  <c r="I37" i="29"/>
  <c r="I36" i="29"/>
  <c r="N12" i="29"/>
  <c r="O12" i="29" s="1"/>
  <c r="P12" i="29" s="1"/>
  <c r="I12" i="29" s="1"/>
  <c r="N7" i="29"/>
  <c r="O7" i="29" s="1"/>
  <c r="P7" i="29" s="1"/>
  <c r="I7" i="29" s="1"/>
  <c r="N12" i="24"/>
  <c r="O12" i="24" s="1"/>
  <c r="P12" i="24" s="1"/>
  <c r="I12" i="24" s="1"/>
  <c r="N21" i="24"/>
  <c r="O21" i="24" s="1"/>
  <c r="P21" i="24" s="1"/>
  <c r="I21" i="24" s="1"/>
  <c r="N6" i="24"/>
  <c r="O6" i="24" s="1"/>
  <c r="P6" i="24" s="1"/>
  <c r="I6" i="24" s="1"/>
  <c r="N39" i="24"/>
  <c r="O39" i="24" s="1"/>
  <c r="P39" i="24" s="1"/>
  <c r="I39" i="24" s="1"/>
  <c r="N10" i="24"/>
  <c r="O10" i="24" s="1"/>
  <c r="P10" i="24" s="1"/>
  <c r="I10" i="24" s="1"/>
  <c r="N13" i="24"/>
  <c r="O13" i="24" s="1"/>
  <c r="P13" i="24" s="1"/>
  <c r="I13" i="24" s="1"/>
  <c r="N14" i="24"/>
  <c r="O14" i="24" s="1"/>
  <c r="P14" i="24" s="1"/>
  <c r="I14" i="24" s="1"/>
  <c r="N23" i="24"/>
  <c r="O23" i="24" s="1"/>
  <c r="P23" i="24" s="1"/>
  <c r="I23" i="24" s="1"/>
  <c r="N34" i="24"/>
  <c r="O34" i="24" s="1"/>
  <c r="P34" i="24" s="1"/>
  <c r="I34" i="24" s="1"/>
  <c r="N20" i="24"/>
  <c r="O20" i="24" s="1"/>
  <c r="P20" i="24" s="1"/>
  <c r="I20" i="24" s="1"/>
  <c r="N22" i="29"/>
  <c r="O22" i="29" s="1"/>
  <c r="P22" i="29" s="1"/>
  <c r="I22" i="29" s="1"/>
  <c r="N40" i="30"/>
  <c r="O40" i="30" s="1"/>
  <c r="P40" i="30" s="1"/>
  <c r="I40" i="30" s="1"/>
  <c r="I36" i="30"/>
  <c r="N30" i="30"/>
  <c r="O30" i="30" s="1"/>
  <c r="P30" i="30" s="1"/>
  <c r="I30" i="30" s="1"/>
  <c r="N27" i="24"/>
  <c r="O27" i="24" s="1"/>
  <c r="P27" i="24" s="1"/>
  <c r="I27" i="24" s="1"/>
  <c r="N31" i="24"/>
  <c r="O31" i="24" s="1"/>
  <c r="P31" i="24" s="1"/>
  <c r="I31" i="24" s="1"/>
  <c r="N8" i="24"/>
  <c r="O8" i="24" s="1"/>
  <c r="P8" i="24" s="1"/>
  <c r="I8" i="24" s="1"/>
  <c r="N36" i="24"/>
  <c r="O36" i="24" s="1"/>
  <c r="P36" i="24" s="1"/>
  <c r="I36" i="24" s="1"/>
  <c r="N33" i="24"/>
  <c r="O33" i="24" s="1"/>
  <c r="P33" i="24" s="1"/>
  <c r="I33" i="24" s="1"/>
  <c r="N16" i="24"/>
  <c r="O16" i="24" s="1"/>
  <c r="P16" i="24" s="1"/>
  <c r="I16" i="24" s="1"/>
  <c r="N26" i="24"/>
  <c r="O26" i="24" s="1"/>
  <c r="P26" i="24" s="1"/>
  <c r="I26" i="24" s="1"/>
  <c r="N4" i="24"/>
  <c r="O4" i="24" s="1"/>
  <c r="P4" i="24" s="1"/>
  <c r="I4" i="24" s="1"/>
  <c r="N17" i="24"/>
  <c r="O17" i="24" s="1"/>
  <c r="P17" i="24" s="1"/>
  <c r="I17" i="24" s="1"/>
  <c r="N37" i="30"/>
  <c r="O37" i="30" s="1"/>
  <c r="P37" i="30" s="1"/>
  <c r="N31" i="30"/>
  <c r="O31" i="30" s="1"/>
  <c r="P31" i="30" s="1"/>
  <c r="I6" i="30" s="1"/>
  <c r="N29" i="30"/>
  <c r="O29" i="30" s="1"/>
  <c r="P29" i="30" s="1"/>
  <c r="N19" i="29"/>
  <c r="O19" i="29" s="1"/>
  <c r="P19" i="29" s="1"/>
  <c r="N16" i="29"/>
  <c r="O16" i="29" s="1"/>
  <c r="P16" i="29" s="1"/>
  <c r="N17" i="29"/>
  <c r="O17" i="29" s="1"/>
  <c r="P17" i="29" s="1"/>
  <c r="N13" i="29"/>
  <c r="O13" i="29" s="1"/>
  <c r="P13" i="29" s="1"/>
  <c r="N40" i="29"/>
  <c r="O40" i="29" s="1"/>
  <c r="P40" i="29" s="1"/>
  <c r="N14" i="30"/>
  <c r="O14" i="30" s="1"/>
  <c r="P14" i="30" s="1"/>
  <c r="N24" i="29"/>
  <c r="O24" i="29" s="1"/>
  <c r="P24" i="29" s="1"/>
  <c r="N5" i="30"/>
  <c r="O5" i="30" s="1"/>
  <c r="P5" i="30" s="1"/>
  <c r="N15" i="30"/>
  <c r="O15" i="30" s="1"/>
  <c r="P15" i="30" s="1"/>
  <c r="N22" i="30"/>
  <c r="O22" i="30" s="1"/>
  <c r="P22" i="30" s="1"/>
  <c r="N13" i="30"/>
  <c r="O13" i="30" s="1"/>
  <c r="P13" i="30" s="1"/>
  <c r="N27" i="30"/>
  <c r="O27" i="30" s="1"/>
  <c r="P27" i="30" s="1"/>
  <c r="N4" i="30"/>
  <c r="O4" i="30" s="1"/>
  <c r="P4" i="30" s="1"/>
  <c r="N24" i="30"/>
  <c r="O24" i="30" s="1"/>
  <c r="P24" i="30" s="1"/>
  <c r="N26" i="30"/>
  <c r="O26" i="30" s="1"/>
  <c r="P26" i="30" s="1"/>
  <c r="N18" i="29"/>
  <c r="O18" i="29" s="1"/>
  <c r="P18" i="29" s="1"/>
  <c r="N9" i="29"/>
  <c r="O9" i="29" s="1"/>
  <c r="P9" i="29" s="1"/>
  <c r="I31" i="30" l="1"/>
  <c r="I14" i="30"/>
  <c r="I29" i="30"/>
  <c r="I37" i="30"/>
  <c r="I22" i="30"/>
  <c r="I24" i="30"/>
  <c r="I5" i="30"/>
  <c r="I27" i="30"/>
  <c r="I4" i="30"/>
  <c r="I13" i="30"/>
  <c r="I15" i="30"/>
  <c r="I26" i="30"/>
  <c r="I24" i="29"/>
  <c r="I19" i="29"/>
  <c r="I16" i="29"/>
  <c r="I17" i="29"/>
  <c r="I9" i="29"/>
  <c r="I18" i="29"/>
  <c r="I40" i="29"/>
  <c r="I13" i="29"/>
  <c r="I1" i="28" l="1"/>
  <c r="H4" i="28" l="1"/>
  <c r="I4" i="28" s="1"/>
  <c r="K1" i="26"/>
  <c r="K1" i="24"/>
  <c r="K1" i="23"/>
  <c r="K1" i="16"/>
  <c r="J16" i="26" l="1"/>
  <c r="K16" i="26" s="1"/>
  <c r="L16" i="26"/>
  <c r="J23" i="26"/>
  <c r="K23" i="26" s="1"/>
  <c r="L23" i="26"/>
  <c r="J11" i="26"/>
  <c r="K11" i="26" s="1"/>
  <c r="L11" i="26"/>
  <c r="L5" i="26"/>
  <c r="J5" i="26"/>
  <c r="K5" i="26" s="1"/>
  <c r="J8" i="26"/>
  <c r="K8" i="26" s="1"/>
  <c r="L8" i="26"/>
  <c r="J18" i="26"/>
  <c r="K18" i="26" s="1"/>
  <c r="L18" i="26"/>
  <c r="L5" i="23"/>
  <c r="J5" i="23"/>
  <c r="K5" i="23" s="1"/>
  <c r="J29" i="23"/>
  <c r="K29" i="23" s="1"/>
  <c r="L29" i="23"/>
  <c r="L25" i="23"/>
  <c r="J25" i="23"/>
  <c r="K25" i="23" s="1"/>
  <c r="J13" i="23"/>
  <c r="K13" i="23" s="1"/>
  <c r="L13" i="23"/>
  <c r="L30" i="23"/>
  <c r="J30" i="23"/>
  <c r="K30" i="23" s="1"/>
  <c r="J6" i="16"/>
  <c r="K6" i="16" s="1"/>
  <c r="L6" i="16"/>
  <c r="L24" i="26"/>
  <c r="J24" i="26"/>
  <c r="K24" i="26" s="1"/>
  <c r="J22" i="26"/>
  <c r="K22" i="26" s="1"/>
  <c r="L22" i="26"/>
  <c r="J27" i="29"/>
  <c r="K27" i="29" s="1"/>
  <c r="L27" i="29"/>
  <c r="J29" i="24"/>
  <c r="K29" i="24" s="1"/>
  <c r="L29" i="24"/>
  <c r="L38" i="24"/>
  <c r="J38" i="24"/>
  <c r="K38" i="24" s="1"/>
  <c r="L3" i="24"/>
  <c r="J3" i="24"/>
  <c r="K3" i="24" s="1"/>
  <c r="L7" i="23"/>
  <c r="J7" i="23"/>
  <c r="K7" i="23" s="1"/>
  <c r="J16" i="23"/>
  <c r="K16" i="23" s="1"/>
  <c r="L16" i="23"/>
  <c r="J9" i="23"/>
  <c r="K9" i="23" s="1"/>
  <c r="L9" i="23"/>
  <c r="L31" i="23"/>
  <c r="J31" i="23"/>
  <c r="K31" i="23" s="1"/>
  <c r="J28" i="23"/>
  <c r="K28" i="23" s="1"/>
  <c r="L28" i="23"/>
  <c r="L4" i="23"/>
  <c r="J4" i="23"/>
  <c r="K4" i="23" s="1"/>
  <c r="J27" i="23"/>
  <c r="K27" i="23" s="1"/>
  <c r="L27" i="23"/>
  <c r="L18" i="23"/>
  <c r="M18" i="23" s="1"/>
  <c r="J18" i="23"/>
  <c r="K18" i="23" s="1"/>
  <c r="L17" i="23"/>
  <c r="M17" i="23" s="1"/>
  <c r="J17" i="23"/>
  <c r="K17" i="23" s="1"/>
  <c r="J22" i="23"/>
  <c r="K22" i="23" s="1"/>
  <c r="L22" i="23"/>
  <c r="L20" i="23"/>
  <c r="J20" i="23"/>
  <c r="K20" i="23" s="1"/>
  <c r="L3" i="23"/>
  <c r="J3" i="23"/>
  <c r="K3" i="23" s="1"/>
  <c r="J8" i="23"/>
  <c r="K8" i="23" s="1"/>
  <c r="L8" i="23"/>
  <c r="L24" i="23"/>
  <c r="J24" i="23"/>
  <c r="K24" i="23" s="1"/>
  <c r="L19" i="23"/>
  <c r="J19" i="23"/>
  <c r="K19" i="23" s="1"/>
  <c r="L12" i="23"/>
  <c r="J12" i="23"/>
  <c r="K12" i="23" s="1"/>
  <c r="L6" i="23"/>
  <c r="J6" i="23"/>
  <c r="K6" i="23" s="1"/>
  <c r="L23" i="23"/>
  <c r="J23" i="23"/>
  <c r="K23" i="23" s="1"/>
  <c r="L15" i="23"/>
  <c r="J15" i="23"/>
  <c r="K15" i="23" s="1"/>
  <c r="L26" i="23"/>
  <c r="J26" i="23"/>
  <c r="K26" i="23" s="1"/>
  <c r="J17" i="16"/>
  <c r="K17" i="16" s="1"/>
  <c r="J24" i="16"/>
  <c r="K24" i="16" s="1"/>
  <c r="L24" i="16"/>
  <c r="J5" i="16"/>
  <c r="K5" i="16" s="1"/>
  <c r="L5" i="16"/>
  <c r="L3" i="16"/>
  <c r="J3" i="16"/>
  <c r="K3" i="16" s="1"/>
  <c r="J3" i="26"/>
  <c r="K3" i="26" s="1"/>
  <c r="L3" i="26"/>
  <c r="L26" i="26"/>
  <c r="J26" i="26"/>
  <c r="K26" i="26" s="1"/>
  <c r="J30" i="31"/>
  <c r="K30" i="31" s="1"/>
  <c r="L30" i="31"/>
  <c r="J15" i="16"/>
  <c r="K15" i="16" s="1"/>
  <c r="L15" i="16"/>
  <c r="J14" i="16"/>
  <c r="K14" i="16" s="1"/>
  <c r="L14" i="16"/>
  <c r="J10" i="16"/>
  <c r="K10" i="16" s="1"/>
  <c r="L10" i="16"/>
  <c r="L7" i="16"/>
  <c r="J7" i="16"/>
  <c r="K7" i="16" s="1"/>
  <c r="L4" i="26"/>
  <c r="M4" i="26" s="1"/>
  <c r="J4" i="26"/>
  <c r="K4" i="26" s="1"/>
  <c r="J6" i="26"/>
  <c r="K6" i="26" s="1"/>
  <c r="L6" i="26"/>
  <c r="L15" i="26"/>
  <c r="M15" i="26" s="1"/>
  <c r="J15" i="26"/>
  <c r="K15" i="26" s="1"/>
  <c r="L24" i="24"/>
  <c r="J24" i="24"/>
  <c r="K24" i="24" s="1"/>
  <c r="L23" i="16"/>
  <c r="J23" i="16"/>
  <c r="K23" i="16" s="1"/>
  <c r="J21" i="23"/>
  <c r="K21" i="23" s="1"/>
  <c r="L21" i="23"/>
  <c r="H3" i="28"/>
  <c r="I3" i="28" s="1"/>
  <c r="L10" i="26"/>
  <c r="M10" i="26" s="1"/>
  <c r="L12" i="26"/>
  <c r="L21" i="26"/>
  <c r="L13" i="16"/>
  <c r="J13" i="16"/>
  <c r="K13" i="16" s="1"/>
  <c r="L16" i="16"/>
  <c r="J16" i="16"/>
  <c r="K16" i="16" s="1"/>
  <c r="L20" i="16"/>
  <c r="J20" i="16"/>
  <c r="K20" i="16" s="1"/>
  <c r="J14" i="23"/>
  <c r="K14" i="23" s="1"/>
  <c r="L14" i="23"/>
  <c r="J10" i="23"/>
  <c r="K10" i="23" s="1"/>
  <c r="L10" i="23"/>
  <c r="L11" i="23"/>
  <c r="J11" i="23"/>
  <c r="K11" i="23" s="1"/>
  <c r="L18" i="16"/>
  <c r="M18" i="16" s="1"/>
  <c r="L11" i="16"/>
  <c r="J11" i="16"/>
  <c r="K11" i="16" s="1"/>
  <c r="J18" i="16"/>
  <c r="K18" i="16" s="1"/>
  <c r="L22" i="16"/>
  <c r="J22" i="16"/>
  <c r="K22" i="16" s="1"/>
  <c r="J19" i="16"/>
  <c r="K19" i="16" s="1"/>
  <c r="J8" i="16"/>
  <c r="K8" i="16" s="1"/>
  <c r="J7" i="26"/>
  <c r="K7" i="26" s="1"/>
  <c r="J13" i="26"/>
  <c r="K13" i="26" s="1"/>
  <c r="J17" i="26"/>
  <c r="K17" i="26" s="1"/>
  <c r="J12" i="26"/>
  <c r="K12" i="26" s="1"/>
  <c r="J4" i="16"/>
  <c r="K4" i="16" s="1"/>
  <c r="L4" i="16"/>
  <c r="L8" i="16"/>
  <c r="L19" i="16"/>
  <c r="L13" i="26"/>
  <c r="L7" i="26"/>
  <c r="M7" i="26" s="1"/>
  <c r="N7" i="26" s="1"/>
  <c r="O7" i="26" s="1"/>
  <c r="P7" i="26" s="1"/>
  <c r="I7" i="26" s="1"/>
  <c r="L17" i="26"/>
  <c r="M17" i="26" s="1"/>
  <c r="N17" i="26" s="1"/>
  <c r="J21" i="26"/>
  <c r="K21" i="26" s="1"/>
  <c r="L20" i="26"/>
  <c r="M20" i="26" s="1"/>
  <c r="N20" i="26" s="1"/>
  <c r="O20" i="26" s="1"/>
  <c r="P20" i="26" s="1"/>
  <c r="J9" i="26"/>
  <c r="K9" i="26" s="1"/>
  <c r="L19" i="26"/>
  <c r="M19" i="26" s="1"/>
  <c r="N19" i="26" s="1"/>
  <c r="O19" i="26" s="1"/>
  <c r="P19" i="26" s="1"/>
  <c r="I19" i="26" s="1"/>
  <c r="J10" i="26"/>
  <c r="K10" i="26" s="1"/>
  <c r="J20" i="26"/>
  <c r="K20" i="26" s="1"/>
  <c r="L9" i="26"/>
  <c r="M9" i="26" s="1"/>
  <c r="N9" i="26" s="1"/>
  <c r="O9" i="26" s="1"/>
  <c r="P9" i="26" s="1"/>
  <c r="I9" i="26" s="1"/>
  <c r="J19" i="26"/>
  <c r="K19" i="26" s="1"/>
  <c r="M16" i="26" l="1"/>
  <c r="N16" i="26" s="1"/>
  <c r="O16" i="26" s="1"/>
  <c r="P16" i="26" s="1"/>
  <c r="I16" i="26" s="1"/>
  <c r="M23" i="26"/>
  <c r="N23" i="26" s="1"/>
  <c r="O23" i="26" s="1"/>
  <c r="P23" i="26" s="1"/>
  <c r="M11" i="26"/>
  <c r="N11" i="26" s="1"/>
  <c r="O11" i="26" s="1"/>
  <c r="P11" i="26" s="1"/>
  <c r="I11" i="26" s="1"/>
  <c r="M5" i="26"/>
  <c r="N5" i="26" s="1"/>
  <c r="O5" i="26" s="1"/>
  <c r="P5" i="26" s="1"/>
  <c r="I5" i="26" s="1"/>
  <c r="M8" i="26"/>
  <c r="N8" i="26" s="1"/>
  <c r="O8" i="26" s="1"/>
  <c r="P8" i="26" s="1"/>
  <c r="M18" i="26"/>
  <c r="N18" i="26" s="1"/>
  <c r="O18" i="26" s="1"/>
  <c r="P18" i="26" s="1"/>
  <c r="I18" i="26" s="1"/>
  <c r="M5" i="23"/>
  <c r="M29" i="23"/>
  <c r="M25" i="23"/>
  <c r="M13" i="23"/>
  <c r="M30" i="23"/>
  <c r="N30" i="23" s="1"/>
  <c r="O30" i="23" s="1"/>
  <c r="P30" i="23" s="1"/>
  <c r="I30" i="23" s="1"/>
  <c r="M6" i="16"/>
  <c r="M24" i="26"/>
  <c r="M22" i="26"/>
  <c r="M27" i="29"/>
  <c r="M29" i="24"/>
  <c r="M38" i="24"/>
  <c r="M3" i="24"/>
  <c r="M7" i="23"/>
  <c r="M16" i="23"/>
  <c r="M9" i="23"/>
  <c r="M31" i="23"/>
  <c r="M28" i="23"/>
  <c r="M4" i="23"/>
  <c r="M27" i="23"/>
  <c r="N18" i="23"/>
  <c r="O18" i="23" s="1"/>
  <c r="P18" i="23" s="1"/>
  <c r="I18" i="23" s="1"/>
  <c r="N17" i="23"/>
  <c r="O17" i="23" s="1"/>
  <c r="P17" i="23" s="1"/>
  <c r="I17" i="23" s="1"/>
  <c r="M22" i="23"/>
  <c r="M20" i="23"/>
  <c r="M3" i="23"/>
  <c r="M8" i="23"/>
  <c r="M24" i="23"/>
  <c r="N24" i="23" s="1"/>
  <c r="O24" i="23" s="1"/>
  <c r="P24" i="23" s="1"/>
  <c r="M19" i="23"/>
  <c r="M12" i="23"/>
  <c r="M6" i="23"/>
  <c r="M23" i="23"/>
  <c r="M15" i="23"/>
  <c r="M26" i="23"/>
  <c r="M24" i="16"/>
  <c r="M5" i="16"/>
  <c r="M3" i="16"/>
  <c r="M3" i="26"/>
  <c r="N3" i="26" s="1"/>
  <c r="O3" i="26" s="1"/>
  <c r="P3" i="26" s="1"/>
  <c r="M26" i="26"/>
  <c r="M30" i="31"/>
  <c r="M15" i="16"/>
  <c r="M14" i="16"/>
  <c r="M10" i="16"/>
  <c r="M7" i="16"/>
  <c r="N4" i="26"/>
  <c r="O4" i="26" s="1"/>
  <c r="P4" i="26" s="1"/>
  <c r="I4" i="26" s="1"/>
  <c r="M6" i="26"/>
  <c r="N15" i="26"/>
  <c r="O15" i="26" s="1"/>
  <c r="P15" i="26" s="1"/>
  <c r="I15" i="26" s="1"/>
  <c r="M24" i="24"/>
  <c r="M23" i="16"/>
  <c r="M21" i="23"/>
  <c r="I20" i="26"/>
  <c r="N10" i="26"/>
  <c r="O10" i="26" s="1"/>
  <c r="P10" i="26" s="1"/>
  <c r="M12" i="26"/>
  <c r="M21" i="26"/>
  <c r="M13" i="16"/>
  <c r="M16" i="16"/>
  <c r="M20" i="16"/>
  <c r="M14" i="23"/>
  <c r="M10" i="23"/>
  <c r="M11" i="23"/>
  <c r="M11" i="16"/>
  <c r="N18" i="16"/>
  <c r="O18" i="16" s="1"/>
  <c r="P18" i="16" s="1"/>
  <c r="I18" i="16" s="1"/>
  <c r="M22" i="16"/>
  <c r="M19" i="16"/>
  <c r="M8" i="16"/>
  <c r="M4" i="16"/>
  <c r="M13" i="26"/>
  <c r="N13" i="26" s="1"/>
  <c r="O13" i="26" s="1"/>
  <c r="P13" i="26" s="1"/>
  <c r="O17" i="26"/>
  <c r="P17" i="26" s="1"/>
  <c r="I23" i="26" l="1"/>
  <c r="I8" i="26"/>
  <c r="N5" i="23"/>
  <c r="O5" i="23" s="1"/>
  <c r="P5" i="23" s="1"/>
  <c r="I5" i="23" s="1"/>
  <c r="N29" i="23"/>
  <c r="O29" i="23" s="1"/>
  <c r="P29" i="23" s="1"/>
  <c r="I29" i="23" s="1"/>
  <c r="N25" i="23"/>
  <c r="O25" i="23" s="1"/>
  <c r="P25" i="23" s="1"/>
  <c r="I25" i="23" s="1"/>
  <c r="N13" i="23"/>
  <c r="O13" i="23" s="1"/>
  <c r="P13" i="23" s="1"/>
  <c r="I13" i="23" s="1"/>
  <c r="N6" i="16"/>
  <c r="O6" i="16" s="1"/>
  <c r="P6" i="16" s="1"/>
  <c r="I6" i="16" s="1"/>
  <c r="N24" i="26"/>
  <c r="O24" i="26" s="1"/>
  <c r="P24" i="26" s="1"/>
  <c r="I24" i="26" s="1"/>
  <c r="N22" i="26"/>
  <c r="O22" i="26" s="1"/>
  <c r="P22" i="26" s="1"/>
  <c r="I22" i="26" s="1"/>
  <c r="N27" i="29"/>
  <c r="O27" i="29" s="1"/>
  <c r="P27" i="29" s="1"/>
  <c r="I27" i="29" s="1"/>
  <c r="N29" i="24"/>
  <c r="O29" i="24" s="1"/>
  <c r="P29" i="24" s="1"/>
  <c r="I29" i="24" s="1"/>
  <c r="N38" i="24"/>
  <c r="O38" i="24" s="1"/>
  <c r="P38" i="24" s="1"/>
  <c r="I38" i="24" s="1"/>
  <c r="N3" i="24"/>
  <c r="O3" i="24" s="1"/>
  <c r="P3" i="24" s="1"/>
  <c r="I3" i="24" s="1"/>
  <c r="N7" i="23"/>
  <c r="O7" i="23" s="1"/>
  <c r="P7" i="23" s="1"/>
  <c r="I7" i="23" s="1"/>
  <c r="N16" i="23"/>
  <c r="O16" i="23" s="1"/>
  <c r="P16" i="23" s="1"/>
  <c r="I16" i="23" s="1"/>
  <c r="N9" i="23"/>
  <c r="O9" i="23" s="1"/>
  <c r="P9" i="23" s="1"/>
  <c r="I9" i="23" s="1"/>
  <c r="N31" i="23"/>
  <c r="O31" i="23" s="1"/>
  <c r="P31" i="23" s="1"/>
  <c r="I31" i="23" s="1"/>
  <c r="N28" i="23"/>
  <c r="O28" i="23" s="1"/>
  <c r="P28" i="23" s="1"/>
  <c r="I28" i="23" s="1"/>
  <c r="N4" i="23"/>
  <c r="O4" i="23" s="1"/>
  <c r="P4" i="23" s="1"/>
  <c r="I4" i="23" s="1"/>
  <c r="N27" i="23"/>
  <c r="O27" i="23" s="1"/>
  <c r="P27" i="23" s="1"/>
  <c r="I27" i="23" s="1"/>
  <c r="N22" i="23"/>
  <c r="O22" i="23" s="1"/>
  <c r="P22" i="23" s="1"/>
  <c r="I22" i="23" s="1"/>
  <c r="N20" i="23"/>
  <c r="O20" i="23" s="1"/>
  <c r="P20" i="23" s="1"/>
  <c r="I20" i="23" s="1"/>
  <c r="N3" i="23"/>
  <c r="O3" i="23" s="1"/>
  <c r="P3" i="23" s="1"/>
  <c r="I3" i="23" s="1"/>
  <c r="I24" i="23"/>
  <c r="N8" i="23"/>
  <c r="O8" i="23" s="1"/>
  <c r="P8" i="23" s="1"/>
  <c r="I8" i="23" s="1"/>
  <c r="N19" i="23"/>
  <c r="O19" i="23" s="1"/>
  <c r="P19" i="23" s="1"/>
  <c r="I19" i="23" s="1"/>
  <c r="N12" i="23"/>
  <c r="O12" i="23" s="1"/>
  <c r="P12" i="23" s="1"/>
  <c r="I12" i="23" s="1"/>
  <c r="N6" i="23"/>
  <c r="O6" i="23" s="1"/>
  <c r="P6" i="23" s="1"/>
  <c r="I6" i="23" s="1"/>
  <c r="N23" i="23"/>
  <c r="O23" i="23" s="1"/>
  <c r="P23" i="23" s="1"/>
  <c r="I23" i="23" s="1"/>
  <c r="N15" i="23"/>
  <c r="O15" i="23" s="1"/>
  <c r="P15" i="23" s="1"/>
  <c r="I15" i="23" s="1"/>
  <c r="N26" i="23"/>
  <c r="O26" i="23" s="1"/>
  <c r="P26" i="23" s="1"/>
  <c r="I26" i="23" s="1"/>
  <c r="N24" i="16"/>
  <c r="O24" i="16" s="1"/>
  <c r="P24" i="16" s="1"/>
  <c r="I24" i="16" s="1"/>
  <c r="N5" i="16"/>
  <c r="O5" i="16" s="1"/>
  <c r="P5" i="16" s="1"/>
  <c r="I5" i="16" s="1"/>
  <c r="N3" i="16"/>
  <c r="O3" i="16" s="1"/>
  <c r="P3" i="16" s="1"/>
  <c r="I3" i="16" s="1"/>
  <c r="I3" i="26"/>
  <c r="N26" i="26"/>
  <c r="O26" i="26" s="1"/>
  <c r="P26" i="26" s="1"/>
  <c r="I26" i="26" s="1"/>
  <c r="N30" i="31"/>
  <c r="O30" i="31" s="1"/>
  <c r="P30" i="31" s="1"/>
  <c r="N15" i="16"/>
  <c r="O15" i="16" s="1"/>
  <c r="P15" i="16" s="1"/>
  <c r="I15" i="16" s="1"/>
  <c r="N14" i="16"/>
  <c r="O14" i="16" s="1"/>
  <c r="P14" i="16" s="1"/>
  <c r="I14" i="16" s="1"/>
  <c r="N10" i="16"/>
  <c r="O10" i="16" s="1"/>
  <c r="P10" i="16" s="1"/>
  <c r="I10" i="16" s="1"/>
  <c r="N7" i="16"/>
  <c r="O7" i="16" s="1"/>
  <c r="P7" i="16" s="1"/>
  <c r="I7" i="16" s="1"/>
  <c r="N6" i="26"/>
  <c r="O6" i="26" s="1"/>
  <c r="P6" i="26" s="1"/>
  <c r="I6" i="26" s="1"/>
  <c r="N24" i="24"/>
  <c r="O24" i="24" s="1"/>
  <c r="P24" i="24" s="1"/>
  <c r="I24" i="24" s="1"/>
  <c r="N23" i="16"/>
  <c r="O23" i="16" s="1"/>
  <c r="P23" i="16" s="1"/>
  <c r="I23" i="16" s="1"/>
  <c r="N21" i="23"/>
  <c r="O21" i="23" s="1"/>
  <c r="P21" i="23" s="1"/>
  <c r="I21" i="23" s="1"/>
  <c r="I10" i="26"/>
  <c r="N12" i="26"/>
  <c r="O12" i="26" s="1"/>
  <c r="P12" i="26" s="1"/>
  <c r="N21" i="26"/>
  <c r="O21" i="26" s="1"/>
  <c r="P21" i="26" s="1"/>
  <c r="N13" i="16"/>
  <c r="O13" i="16" s="1"/>
  <c r="P13" i="16" s="1"/>
  <c r="I13" i="16" s="1"/>
  <c r="N16" i="16"/>
  <c r="O16" i="16" s="1"/>
  <c r="P16" i="16" s="1"/>
  <c r="I16" i="16" s="1"/>
  <c r="N20" i="16"/>
  <c r="O20" i="16" s="1"/>
  <c r="P20" i="16" s="1"/>
  <c r="I20" i="16" s="1"/>
  <c r="N14" i="23"/>
  <c r="O14" i="23" s="1"/>
  <c r="P14" i="23" s="1"/>
  <c r="I14" i="23" s="1"/>
  <c r="N10" i="23"/>
  <c r="O10" i="23" s="1"/>
  <c r="P10" i="23" s="1"/>
  <c r="I10" i="23" s="1"/>
  <c r="N11" i="23"/>
  <c r="O11" i="23" s="1"/>
  <c r="P11" i="23" s="1"/>
  <c r="I11" i="23" s="1"/>
  <c r="N11" i="16"/>
  <c r="O11" i="16" s="1"/>
  <c r="P11" i="16" s="1"/>
  <c r="I11" i="16" s="1"/>
  <c r="N22" i="16"/>
  <c r="O22" i="16" s="1"/>
  <c r="P22" i="16" s="1"/>
  <c r="I22" i="16" s="1"/>
  <c r="N19" i="16"/>
  <c r="O19" i="16" s="1"/>
  <c r="P19" i="16" s="1"/>
  <c r="I19" i="16" s="1"/>
  <c r="N8" i="16"/>
  <c r="O8" i="16" s="1"/>
  <c r="P8" i="16" s="1"/>
  <c r="I8" i="16" s="1"/>
  <c r="N4" i="16"/>
  <c r="O4" i="16" s="1"/>
  <c r="P4" i="16" s="1"/>
  <c r="I4" i="16" s="1"/>
  <c r="I13" i="26"/>
  <c r="I21" i="26" l="1"/>
  <c r="I12" i="26"/>
  <c r="I17" i="26"/>
</calcChain>
</file>

<file path=xl/sharedStrings.xml><?xml version="1.0" encoding="utf-8"?>
<sst xmlns="http://schemas.openxmlformats.org/spreadsheetml/2006/main" count="898" uniqueCount="543">
  <si>
    <t>Apertura 2018</t>
  </si>
  <si>
    <t>Clausura 2018</t>
  </si>
  <si>
    <t>Apertura 2017</t>
  </si>
  <si>
    <t>Clausura 2017</t>
  </si>
  <si>
    <t>Clausura 2019</t>
  </si>
  <si>
    <t>Clausura 2020</t>
  </si>
  <si>
    <t>Apertura 2019</t>
  </si>
  <si>
    <t>Apertura 2020</t>
  </si>
  <si>
    <t>Clausura 2016</t>
  </si>
  <si>
    <t xml:space="preserve">NOMBRE </t>
  </si>
  <si>
    <t>APELLIDOS</t>
  </si>
  <si>
    <t>VIGENCIA</t>
  </si>
  <si>
    <t>DÍAS RESTANTES DE CONTRATO</t>
  </si>
  <si>
    <t>Apertura 2016</t>
  </si>
  <si>
    <t>Temporada</t>
  </si>
  <si>
    <t>Inicia</t>
  </si>
  <si>
    <t>Termina</t>
  </si>
  <si>
    <t>ESTATUS</t>
  </si>
  <si>
    <t>NO.</t>
  </si>
  <si>
    <t>Apertura 2021</t>
  </si>
  <si>
    <t>Clausura 2021</t>
  </si>
  <si>
    <t>Clausura 2022</t>
  </si>
  <si>
    <t>Apertura 2022</t>
  </si>
  <si>
    <t>Tipo de Cambio</t>
  </si>
  <si>
    <t>N/A</t>
  </si>
  <si>
    <t>Clausura 2023</t>
  </si>
  <si>
    <t>Apertura 2023</t>
  </si>
  <si>
    <t>Clausura 2024</t>
  </si>
  <si>
    <t>Apertura 2024</t>
  </si>
  <si>
    <t>Clausura 2025</t>
  </si>
  <si>
    <t>Apertura 2025</t>
  </si>
  <si>
    <t>Clausura 2026</t>
  </si>
  <si>
    <t>Apertura 2026</t>
  </si>
  <si>
    <t>Clausura 2027</t>
  </si>
  <si>
    <t>Apertura 2027</t>
  </si>
  <si>
    <t>Clausura 2028</t>
  </si>
  <si>
    <t>Apertura 2028</t>
  </si>
  <si>
    <t>Clausura 2029</t>
  </si>
  <si>
    <t>Apertura 2029</t>
  </si>
  <si>
    <t>Clausura 2030</t>
  </si>
  <si>
    <t>Apertura 2030</t>
  </si>
  <si>
    <t>Clausura 2031</t>
  </si>
  <si>
    <t>Apertura 2031</t>
  </si>
  <si>
    <t>Clausura 2032</t>
  </si>
  <si>
    <t>Apertura 2032</t>
  </si>
  <si>
    <t>Clausura 2033</t>
  </si>
  <si>
    <t>Apertura 2033</t>
  </si>
  <si>
    <t>Clausura 2034</t>
  </si>
  <si>
    <t>Apertura 2034</t>
  </si>
  <si>
    <t>Clausura 2035</t>
  </si>
  <si>
    <t>Apertura 2035</t>
  </si>
  <si>
    <t>Clausura 2036</t>
  </si>
  <si>
    <t>Apertura 2036</t>
  </si>
  <si>
    <t>Clausura 2037</t>
  </si>
  <si>
    <t>Apertura 2037</t>
  </si>
  <si>
    <t>Clausura 2038</t>
  </si>
  <si>
    <t>Apertura 2038</t>
  </si>
  <si>
    <t>Clausura 2039</t>
  </si>
  <si>
    <t>Apertura 2039</t>
  </si>
  <si>
    <t>Clausura 2040</t>
  </si>
  <si>
    <t>Apertura 2040</t>
  </si>
  <si>
    <t>Clausura 2041</t>
  </si>
  <si>
    <t>Apertura 2041</t>
  </si>
  <si>
    <t>Clausura 2042</t>
  </si>
  <si>
    <t>Apertura 2042</t>
  </si>
  <si>
    <t>Aguirre Ledesma</t>
  </si>
  <si>
    <t>SALARIO (MENSUAL)</t>
  </si>
  <si>
    <t>Primera División</t>
  </si>
  <si>
    <t>José Santiago</t>
  </si>
  <si>
    <t>Hernández García</t>
  </si>
  <si>
    <t>Camilo Andrés</t>
  </si>
  <si>
    <t>Vargas Gil</t>
  </si>
  <si>
    <t>Hugo Martín</t>
  </si>
  <si>
    <t>Nervo</t>
  </si>
  <si>
    <t>Anderson</t>
  </si>
  <si>
    <t>Santamaría Bardales</t>
  </si>
  <si>
    <t>Edgar</t>
  </si>
  <si>
    <t>Zaldivar Valverde</t>
  </si>
  <si>
    <t>JUGADORES A PRÉSTAMO PRIMERA DIVISIÓN E INTERNACIONAL</t>
  </si>
  <si>
    <t>VIGENCIA CONTRATO</t>
  </si>
  <si>
    <t>VIGENCIA DEL PRÉSTAMO</t>
  </si>
  <si>
    <t>Club</t>
  </si>
  <si>
    <t>Gaddi Axel</t>
  </si>
  <si>
    <t>Femenil</t>
  </si>
  <si>
    <t>FECHA DE NACIMIENTO</t>
  </si>
  <si>
    <t>NUI</t>
  </si>
  <si>
    <t>EDAD</t>
  </si>
  <si>
    <t>Alonso</t>
  </si>
  <si>
    <t>Ángel Jeremy</t>
  </si>
  <si>
    <t>Márquez Castañeda</t>
  </si>
  <si>
    <t>Antonio</t>
  </si>
  <si>
    <t>Sánchez Montes de Oca</t>
  </si>
  <si>
    <t>Christopher Brayan</t>
  </si>
  <si>
    <t>Trejo Morantes</t>
  </si>
  <si>
    <t>Emilio</t>
  </si>
  <si>
    <t>Joel Gustavo</t>
  </si>
  <si>
    <t>Pérez Valle</t>
  </si>
  <si>
    <t>Luis Armando</t>
  </si>
  <si>
    <t>Flores Gómez</t>
  </si>
  <si>
    <t>Carlos Alejandro</t>
  </si>
  <si>
    <t>Robles Jiménez</t>
  </si>
  <si>
    <t>Israel Alejandro</t>
  </si>
  <si>
    <t>Larios López</t>
  </si>
  <si>
    <t>Kevin Alexis</t>
  </si>
  <si>
    <t>Leonardo Jair</t>
  </si>
  <si>
    <t>Correa Moreno</t>
  </si>
  <si>
    <t>Martínez Armas</t>
  </si>
  <si>
    <t>Luis Gustavo</t>
  </si>
  <si>
    <t>Rafael</t>
  </si>
  <si>
    <t>Martínez Ortega</t>
  </si>
  <si>
    <t>Eduardo</t>
  </si>
  <si>
    <t>Moreno Cervantes</t>
  </si>
  <si>
    <t>CFD</t>
  </si>
  <si>
    <t>Alejandro de Jesús</t>
  </si>
  <si>
    <t>Bravo Santiago</t>
  </si>
  <si>
    <t>Rodolfo Andrés</t>
  </si>
  <si>
    <t>Garza Soto</t>
  </si>
  <si>
    <t>Jorge Luis</t>
  </si>
  <si>
    <t>Guzmán Rodríguez</t>
  </si>
  <si>
    <t>Luis Fernando</t>
  </si>
  <si>
    <t>Arce Balleza</t>
  </si>
  <si>
    <t>Alejandra</t>
  </si>
  <si>
    <t>Franco Gómez</t>
  </si>
  <si>
    <t>Karen Andrea</t>
  </si>
  <si>
    <t>García Márquez</t>
  </si>
  <si>
    <t>Ana Gabriela</t>
  </si>
  <si>
    <t>Paz Molina</t>
  </si>
  <si>
    <t>María Fernanda Daniela</t>
  </si>
  <si>
    <t>Pérez Limón</t>
  </si>
  <si>
    <t>Valeria</t>
  </si>
  <si>
    <t>Razo Correa</t>
  </si>
  <si>
    <t>Marcia Paola</t>
  </si>
  <si>
    <t>Alexa Daniela</t>
  </si>
  <si>
    <t>García Ramírez</t>
  </si>
  <si>
    <t>Roberto Emanuel</t>
  </si>
  <si>
    <t>Barragán Casillas</t>
  </si>
  <si>
    <t>Luis Alberto</t>
  </si>
  <si>
    <t>Egurrola Valle</t>
  </si>
  <si>
    <t>Juan Carlos</t>
  </si>
  <si>
    <t>González Contreras</t>
  </si>
  <si>
    <t>Antero Manuel</t>
  </si>
  <si>
    <t>Landaverde González</t>
  </si>
  <si>
    <t>Víctor Hugo</t>
  </si>
  <si>
    <t>Ríos de Alba</t>
  </si>
  <si>
    <t>Jesús Eloy</t>
  </si>
  <si>
    <t>Guillen Ávila</t>
  </si>
  <si>
    <t>GO</t>
  </si>
  <si>
    <t>Edson Amaury</t>
  </si>
  <si>
    <t>José Javier</t>
  </si>
  <si>
    <t>Abella Fanjul</t>
  </si>
  <si>
    <t>Curiel Sánchez</t>
  </si>
  <si>
    <t>SALARIO MENSUAL</t>
  </si>
  <si>
    <t>Lomelí Franco</t>
  </si>
  <si>
    <t>Luis Elie</t>
  </si>
  <si>
    <t>Blanco Pérez</t>
  </si>
  <si>
    <t>Hernández Maza</t>
  </si>
  <si>
    <t>Hernández Rodríguez</t>
  </si>
  <si>
    <t>Aldo Paul</t>
  </si>
  <si>
    <t>Rocha González</t>
  </si>
  <si>
    <t>Luis Ricardo</t>
  </si>
  <si>
    <t>Reyes Moreno</t>
  </si>
  <si>
    <t>* con opción a Apertura 2023</t>
  </si>
  <si>
    <t>Ripoll Magaña</t>
  </si>
  <si>
    <t>Daniela Montserrat</t>
  </si>
  <si>
    <t>Meza Barba</t>
  </si>
  <si>
    <t>Valeria Sarahi</t>
  </si>
  <si>
    <t>González Munguía</t>
  </si>
  <si>
    <t>Abraham</t>
  </si>
  <si>
    <t>Bass Flores</t>
  </si>
  <si>
    <t>Sergio Ismael</t>
  </si>
  <si>
    <t>Hernández Flores</t>
  </si>
  <si>
    <t>Daniel Xavier</t>
  </si>
  <si>
    <t>Cervantes Michel</t>
  </si>
  <si>
    <t>Sub 18</t>
  </si>
  <si>
    <t>Sub 16</t>
  </si>
  <si>
    <t>Sub 14</t>
  </si>
  <si>
    <t>José Emilio</t>
  </si>
  <si>
    <t>Anthony Owen</t>
  </si>
  <si>
    <t>Saúl Alejandro</t>
  </si>
  <si>
    <t>Pérez Veloz</t>
  </si>
  <si>
    <t>Reyes Gutiérrez</t>
  </si>
  <si>
    <t>David Emiliano</t>
  </si>
  <si>
    <t>Aldo Giovanni</t>
  </si>
  <si>
    <t>Rodríguez Mendoza</t>
  </si>
  <si>
    <t>Oscar Apolinar</t>
  </si>
  <si>
    <t>Mariano</t>
  </si>
  <si>
    <t>Castañeda Casian</t>
  </si>
  <si>
    <t>Camila</t>
  </si>
  <si>
    <t>Ashley Andrea</t>
  </si>
  <si>
    <t>López</t>
  </si>
  <si>
    <t>María José</t>
  </si>
  <si>
    <t xml:space="preserve">García Nava </t>
  </si>
  <si>
    <t>Lorena Elizabeth</t>
  </si>
  <si>
    <t xml:space="preserve">Vega Azpeitia </t>
  </si>
  <si>
    <t>Mariana Arisve</t>
  </si>
  <si>
    <t>Solorio Jacobo</t>
  </si>
  <si>
    <t>Karla Georgina</t>
  </si>
  <si>
    <t>Danna Esmeralda</t>
  </si>
  <si>
    <t>Noemi Guadalupe</t>
  </si>
  <si>
    <t>Miranda</t>
  </si>
  <si>
    <t>Reyna Campos</t>
  </si>
  <si>
    <t>Vázquez Haro</t>
  </si>
  <si>
    <t>López Domínguez</t>
  </si>
  <si>
    <t>Jiménez Velasco</t>
  </si>
  <si>
    <t xml:space="preserve">Villalobos Valdéz </t>
  </si>
  <si>
    <t xml:space="preserve"> Ibarra Gutiérrez</t>
  </si>
  <si>
    <t>Bautista Príncipe</t>
  </si>
  <si>
    <t>Diego Tristán</t>
  </si>
  <si>
    <t>Murillo Díaz</t>
  </si>
  <si>
    <t>Navarro Álvarez</t>
  </si>
  <si>
    <t>Trújillo Ramírez</t>
  </si>
  <si>
    <t>Dayana Monserrat</t>
  </si>
  <si>
    <t>Covarrubias Lira</t>
  </si>
  <si>
    <t>Valeria Yarely</t>
  </si>
  <si>
    <t>Del Toro Morán</t>
  </si>
  <si>
    <t>Tepatitlán FC</t>
  </si>
  <si>
    <t xml:space="preserve">            JUGADORES A PRÉSTAMO LIGA EXPANSIÓN</t>
  </si>
  <si>
    <t>Carlos Raúl</t>
  </si>
  <si>
    <t>Hernández Moreno</t>
  </si>
  <si>
    <t>Naresh</t>
  </si>
  <si>
    <t>Lopéz Villanueva</t>
  </si>
  <si>
    <t>Rayhan Emir</t>
  </si>
  <si>
    <t>Iñiguez  Cortéz</t>
  </si>
  <si>
    <t>Dylan  Yandel</t>
  </si>
  <si>
    <t>Cortéz Pintor</t>
  </si>
  <si>
    <t>Gerardo Gabriel</t>
  </si>
  <si>
    <t>Gómez Lara</t>
  </si>
  <si>
    <t>Silva</t>
  </si>
  <si>
    <t>Luis Antonio</t>
  </si>
  <si>
    <t>Suárez López</t>
  </si>
  <si>
    <t>Jorge Alessandro</t>
  </si>
  <si>
    <t>San Martín Hernández</t>
  </si>
  <si>
    <t>Dafne Valentina</t>
  </si>
  <si>
    <t>Ramírez López</t>
  </si>
  <si>
    <t>*Vigencia pendiente de registro</t>
  </si>
  <si>
    <t>Mauro Andrés</t>
  </si>
  <si>
    <t>Manotas Páez</t>
  </si>
  <si>
    <t>Edison Michael</t>
  </si>
  <si>
    <t>Flores Peralta</t>
  </si>
  <si>
    <t>Idekel Alberto</t>
  </si>
  <si>
    <t>Domínguez Rodríguez</t>
  </si>
  <si>
    <t>Paulo</t>
  </si>
  <si>
    <t>Ramírez Barboza</t>
  </si>
  <si>
    <t>Jesús Fabián</t>
  </si>
  <si>
    <t>Salas Hernández</t>
  </si>
  <si>
    <t>Miguel Isaí</t>
  </si>
  <si>
    <t>*Acumulativo 100% a partir 01/07/2022</t>
  </si>
  <si>
    <t xml:space="preserve">Dylan Alejandro </t>
  </si>
  <si>
    <t>Zamora Orozco</t>
  </si>
  <si>
    <t>Guadalupe Noel</t>
  </si>
  <si>
    <t>Lara Rodríguez</t>
  </si>
  <si>
    <t xml:space="preserve">José Luis </t>
  </si>
  <si>
    <t>Norberto Carlos</t>
  </si>
  <si>
    <t xml:space="preserve">Suárez </t>
  </si>
  <si>
    <t>Abraham Alejandro</t>
  </si>
  <si>
    <t>Cárdenas Ochoa</t>
  </si>
  <si>
    <t xml:space="preserve">Ángel Balam </t>
  </si>
  <si>
    <t>Macías Romo</t>
  </si>
  <si>
    <t>Carlos Ramón</t>
  </si>
  <si>
    <t>César Patricio</t>
  </si>
  <si>
    <t>Franco Simental</t>
  </si>
  <si>
    <t>Cristofer Jesús</t>
  </si>
  <si>
    <t>Rojo Vela</t>
  </si>
  <si>
    <t>Daniel</t>
  </si>
  <si>
    <t>Hernández Teran</t>
  </si>
  <si>
    <t xml:space="preserve">Diego Jair </t>
  </si>
  <si>
    <t>Rodríguez Cornejo</t>
  </si>
  <si>
    <t>Dominic</t>
  </si>
  <si>
    <t>Román Espinosa</t>
  </si>
  <si>
    <t>Donato Fermin</t>
  </si>
  <si>
    <t>Marín Villagómez</t>
  </si>
  <si>
    <t>Martínez Horta</t>
  </si>
  <si>
    <t>Horacio Enrique</t>
  </si>
  <si>
    <t>Villarruel González</t>
  </si>
  <si>
    <t>Hugo Maximiliano</t>
  </si>
  <si>
    <t>González Martínez</t>
  </si>
  <si>
    <t>Leonardo Emmanuel</t>
  </si>
  <si>
    <t>Hernández Bonilla</t>
  </si>
  <si>
    <t xml:space="preserve">Luis Mario </t>
  </si>
  <si>
    <t>Gamboa Carrillo</t>
  </si>
  <si>
    <t>Massimo</t>
  </si>
  <si>
    <t>Marian Ramírez</t>
  </si>
  <si>
    <t>Orlando Gamaliel</t>
  </si>
  <si>
    <t>Gutiérrez Villa</t>
  </si>
  <si>
    <t>Roberto</t>
  </si>
  <si>
    <t>López Cuadra Arias</t>
  </si>
  <si>
    <t xml:space="preserve">Alexa Ximena </t>
  </si>
  <si>
    <t>Michel Muñoz</t>
  </si>
  <si>
    <t>Alondra</t>
  </si>
  <si>
    <t>Cardona Ríos</t>
  </si>
  <si>
    <t>Ashleen</t>
  </si>
  <si>
    <t>Carrillo Cabrebra</t>
  </si>
  <si>
    <t>Nithzaye Guadalupe</t>
  </si>
  <si>
    <t>Aguilar Soto</t>
  </si>
  <si>
    <t>Luquin Rodríguez</t>
  </si>
  <si>
    <t>Jairo Ezequiel</t>
  </si>
  <si>
    <t>Mungaray López</t>
  </si>
  <si>
    <t xml:space="preserve">Alonso </t>
  </si>
  <si>
    <t>Ramírez Jiménez</t>
  </si>
  <si>
    <t xml:space="preserve">CFD </t>
  </si>
  <si>
    <t>Brian Avelino</t>
  </si>
  <si>
    <t>Lozano Aparicio</t>
  </si>
  <si>
    <t>Sergio</t>
  </si>
  <si>
    <t>Álvarez López</t>
  </si>
  <si>
    <t>Martín Sánchez</t>
  </si>
  <si>
    <t>Maritza Dardane</t>
  </si>
  <si>
    <t>Maldonado Velázquez</t>
  </si>
  <si>
    <t>Daniela María</t>
  </si>
  <si>
    <t>Cruz Mejía</t>
  </si>
  <si>
    <t>Brenda Damaris</t>
  </si>
  <si>
    <t>Ceren Delgado</t>
  </si>
  <si>
    <t>Cruz Guillen</t>
  </si>
  <si>
    <t>Carlos Eduardo</t>
  </si>
  <si>
    <t>Adriano Naelson</t>
  </si>
  <si>
    <t>Pantoja Reyes</t>
  </si>
  <si>
    <t xml:space="preserve">Jhony Rolando </t>
  </si>
  <si>
    <t>Zúñiga Rentería</t>
  </si>
  <si>
    <t>Raúl</t>
  </si>
  <si>
    <t>Solís López</t>
  </si>
  <si>
    <t>Santiago</t>
  </si>
  <si>
    <t>*Academia SV</t>
  </si>
  <si>
    <t>Grageda Calderón</t>
  </si>
  <si>
    <t xml:space="preserve">GO </t>
  </si>
  <si>
    <t>Austin FC</t>
  </si>
  <si>
    <t>Mateo Ezequiel</t>
  </si>
  <si>
    <t>García</t>
  </si>
  <si>
    <t xml:space="preserve">Eduardo Daniel </t>
  </si>
  <si>
    <t>Aguirre Lara</t>
  </si>
  <si>
    <t>Juan Manuel</t>
  </si>
  <si>
    <t>Zapata Zumaque</t>
  </si>
  <si>
    <t>*Opción a CV definitiva</t>
  </si>
  <si>
    <t>José Rivaldo</t>
  </si>
  <si>
    <t>Lozano Silva</t>
  </si>
  <si>
    <t>Augusto Jorge Mateo</t>
  </si>
  <si>
    <t>Solari</t>
  </si>
  <si>
    <t>Valeria Elizabeth</t>
  </si>
  <si>
    <t>Pérez Cisneros</t>
  </si>
  <si>
    <t>Valeria Naharai</t>
  </si>
  <si>
    <t>Medrano Meza</t>
  </si>
  <si>
    <t>Vania Valentina</t>
  </si>
  <si>
    <t>Velázquez de León</t>
  </si>
  <si>
    <t>Yaren Estrella</t>
  </si>
  <si>
    <t>Yanez-Couto</t>
  </si>
  <si>
    <t xml:space="preserve">Karla Daniela </t>
  </si>
  <si>
    <t>Zempoalteca Hernández</t>
  </si>
  <si>
    <t>Susan Yanet</t>
  </si>
  <si>
    <t>Bejarano Rodríguez</t>
  </si>
  <si>
    <t xml:space="preserve">Aaron </t>
  </si>
  <si>
    <t>López Hernández</t>
  </si>
  <si>
    <t>Alejandro</t>
  </si>
  <si>
    <t>Del Real Quezada</t>
  </si>
  <si>
    <t>Club Celaya</t>
  </si>
  <si>
    <t>CL 2024</t>
  </si>
  <si>
    <t>Sub 23</t>
  </si>
  <si>
    <t>Correcaminos</t>
  </si>
  <si>
    <t xml:space="preserve">Juan Jesús </t>
  </si>
  <si>
    <t>Martín Quiroz</t>
  </si>
  <si>
    <t>Óscar Emiliano</t>
  </si>
  <si>
    <t>Hidalgo Sánchez</t>
  </si>
  <si>
    <t>Ricardo Isaías</t>
  </si>
  <si>
    <t>Santana Pérez</t>
  </si>
  <si>
    <t>Diego Alejandro</t>
  </si>
  <si>
    <t xml:space="preserve">Carlos Jesús </t>
  </si>
  <si>
    <t>Henríquez Andrade</t>
  </si>
  <si>
    <t>Brandon Daniel</t>
  </si>
  <si>
    <t>Ortiz Covarrubias</t>
  </si>
  <si>
    <t>Jesús Eduardo</t>
  </si>
  <si>
    <t>Serrato Zambrano</t>
  </si>
  <si>
    <t xml:space="preserve">José Gael </t>
  </si>
  <si>
    <t>Gómez Carrión</t>
  </si>
  <si>
    <t>Álvaro Alonso</t>
  </si>
  <si>
    <t>Beas Castro</t>
  </si>
  <si>
    <t xml:space="preserve">Óscar Trinidad </t>
  </si>
  <si>
    <t>Reyes Urtiaga</t>
  </si>
  <si>
    <t xml:space="preserve">Paolo </t>
  </si>
  <si>
    <t>Romero Sosa</t>
  </si>
  <si>
    <t>Héctor Alejandro</t>
  </si>
  <si>
    <t>Medina Barreto</t>
  </si>
  <si>
    <t>Axel Uriel</t>
  </si>
  <si>
    <t>Oñate Hernández</t>
  </si>
  <si>
    <t xml:space="preserve">Ricardo </t>
  </si>
  <si>
    <t>Cuevas Capitaine</t>
  </si>
  <si>
    <t>Calleja Melesio</t>
  </si>
  <si>
    <t>Gibrán Emiliano</t>
  </si>
  <si>
    <t>García Núñez</t>
  </si>
  <si>
    <t xml:space="preserve">Jesús Nazareth </t>
  </si>
  <si>
    <t>Aguirre Márquez</t>
  </si>
  <si>
    <t xml:space="preserve">Lissandro </t>
  </si>
  <si>
    <t>Ventura Cortés</t>
  </si>
  <si>
    <t>Luis Alfonso</t>
  </si>
  <si>
    <t>Pérez Corona</t>
  </si>
  <si>
    <t>Milton Nicolás</t>
  </si>
  <si>
    <t>Esponda Castillo</t>
  </si>
  <si>
    <t>Omar Fabricio</t>
  </si>
  <si>
    <t>Vilchis González</t>
  </si>
  <si>
    <t xml:space="preserve">Rodrigo Alberto </t>
  </si>
  <si>
    <t>Cárdenas Campos</t>
  </si>
  <si>
    <t>Sebastián Axael</t>
  </si>
  <si>
    <t>Mandujano</t>
  </si>
  <si>
    <t>Valentín</t>
  </si>
  <si>
    <t>Galindo Rodríguez</t>
  </si>
  <si>
    <t>Ángel Alexander</t>
  </si>
  <si>
    <t>Aguilar Chávez</t>
  </si>
  <si>
    <t xml:space="preserve">Emiliano </t>
  </si>
  <si>
    <t>Gómez Gómez</t>
  </si>
  <si>
    <t>Erick Daniel</t>
  </si>
  <si>
    <t>Gutiérrez Padilla</t>
  </si>
  <si>
    <t xml:space="preserve">Gael Sebastián </t>
  </si>
  <si>
    <t>Julián</t>
  </si>
  <si>
    <t>Strietzel García</t>
  </si>
  <si>
    <t>Leonardo Jesús</t>
  </si>
  <si>
    <t>Espino Contreras</t>
  </si>
  <si>
    <t>Medina Rodríguez</t>
  </si>
  <si>
    <t>Luis Felipe de Jesús</t>
  </si>
  <si>
    <t>Mateo</t>
  </si>
  <si>
    <t>Reyes Fernández</t>
  </si>
  <si>
    <t>Noe Tadeo</t>
  </si>
  <si>
    <t>Mota Aviña</t>
  </si>
  <si>
    <t>Olmo Ernesto</t>
  </si>
  <si>
    <t>Godínez Santiago</t>
  </si>
  <si>
    <t>Ronaldo</t>
  </si>
  <si>
    <t>Sánchez Pérez</t>
  </si>
  <si>
    <t>Said Emir</t>
  </si>
  <si>
    <t>López Sánchez</t>
  </si>
  <si>
    <t>Saúl Alexander</t>
  </si>
  <si>
    <t>García Quezada</t>
  </si>
  <si>
    <t xml:space="preserve">William Iván </t>
  </si>
  <si>
    <t>Yohan Fabián</t>
  </si>
  <si>
    <t>Cabrera Rodríguez</t>
  </si>
  <si>
    <t>Jordy Josué</t>
  </si>
  <si>
    <t>Caicedo Medina</t>
  </si>
  <si>
    <t>Universitario Perú</t>
  </si>
  <si>
    <t>María Paula</t>
  </si>
  <si>
    <t>Salas Zúñiga</t>
  </si>
  <si>
    <t xml:space="preserve">Daniela </t>
  </si>
  <si>
    <t>Solera Vega</t>
  </si>
  <si>
    <t>Aceves Sánchez</t>
  </si>
  <si>
    <t xml:space="preserve">Jetzuvely Jamilet </t>
  </si>
  <si>
    <t>González González</t>
  </si>
  <si>
    <t>Yelaena Catalina</t>
  </si>
  <si>
    <t>Gutiérrez</t>
  </si>
  <si>
    <t xml:space="preserve">Yatziri </t>
  </si>
  <si>
    <t>Santos Martínez</t>
  </si>
  <si>
    <t>Cynthia Nicole</t>
  </si>
  <si>
    <t>Garibaldi Pulido</t>
  </si>
  <si>
    <t>AP 2024</t>
  </si>
  <si>
    <t>GO *Ya debutó en AP 23</t>
  </si>
  <si>
    <t>Eric Fernando</t>
  </si>
  <si>
    <t>Villegas Rodríguez</t>
  </si>
  <si>
    <t xml:space="preserve">Ángel Jesús </t>
  </si>
  <si>
    <t>Sevilla Montoya</t>
  </si>
  <si>
    <t xml:space="preserve">Diego Jhovani </t>
  </si>
  <si>
    <t>Trejo Roldán</t>
  </si>
  <si>
    <t xml:space="preserve">Adrián </t>
  </si>
  <si>
    <t>Hernán Patricio</t>
  </si>
  <si>
    <t>Estrada Miramontes</t>
  </si>
  <si>
    <t>Velázquez Bolaños</t>
  </si>
  <si>
    <t>Fabio</t>
  </si>
  <si>
    <t>Caballe Loeza</t>
  </si>
  <si>
    <t>*Asociación Jalisco</t>
  </si>
  <si>
    <t>Castellanos Bautista</t>
  </si>
  <si>
    <t>Álvaro</t>
  </si>
  <si>
    <t>Lizárraga Torres</t>
  </si>
  <si>
    <t xml:space="preserve">Juan Daniel </t>
  </si>
  <si>
    <t>Nieto Díaz</t>
  </si>
  <si>
    <t xml:space="preserve">Iker Kenneth </t>
  </si>
  <si>
    <t>Maya Camacho</t>
  </si>
  <si>
    <t>Jiménez Aburto</t>
  </si>
  <si>
    <t>Donovan Santiago</t>
  </si>
  <si>
    <t>Muciño Chávez</t>
  </si>
  <si>
    <t xml:space="preserve">Luciano Israel </t>
  </si>
  <si>
    <t>Gabriel</t>
  </si>
  <si>
    <t>Martínez Sánchez</t>
  </si>
  <si>
    <t xml:space="preserve">Ángel Daniel </t>
  </si>
  <si>
    <t>Uscanga García</t>
  </si>
  <si>
    <t>André Fabián</t>
  </si>
  <si>
    <t>Morales Solorio</t>
  </si>
  <si>
    <t>José Luis</t>
  </si>
  <si>
    <t>Gutiérrez Cortes</t>
  </si>
  <si>
    <t>*Sueldo cambia en AP 24</t>
  </si>
  <si>
    <t>Valeria Aurora</t>
  </si>
  <si>
    <t>Miranda Rodríguez</t>
  </si>
  <si>
    <t>Kayla Laurynn</t>
  </si>
  <si>
    <t>Fernández Harvey</t>
  </si>
  <si>
    <t>Selene Deyanira</t>
  </si>
  <si>
    <t>Cortés Valero</t>
  </si>
  <si>
    <t>Litzy Camila</t>
  </si>
  <si>
    <t>Serna Balderas</t>
  </si>
  <si>
    <t>Karen Miroslava</t>
  </si>
  <si>
    <t>Maprigat Madrigal</t>
  </si>
  <si>
    <t>*checar mins</t>
  </si>
  <si>
    <t>*Sueldo cambia en CL 24 CHECAR MINS</t>
  </si>
  <si>
    <t>*Baja por maternidad (IMSS cubre salario)</t>
  </si>
  <si>
    <t>Juárez FC</t>
  </si>
  <si>
    <t>Raymundo de Jesús</t>
  </si>
  <si>
    <t>Fulgencio Román</t>
  </si>
  <si>
    <t>Jhon Eduard</t>
  </si>
  <si>
    <t>Murillo Romaña</t>
  </si>
  <si>
    <t>Ángel de Jesús</t>
  </si>
  <si>
    <t>García German</t>
  </si>
  <si>
    <t>Leonardo</t>
  </si>
  <si>
    <t>Pérez Maldonado Martínez</t>
  </si>
  <si>
    <t>GO *Acumulativo</t>
  </si>
  <si>
    <t>Femenil Sub 19</t>
  </si>
  <si>
    <t xml:space="preserve">Brittany </t>
  </si>
  <si>
    <t>Aparicio Rodríguez</t>
  </si>
  <si>
    <t>Emily Elizabeth</t>
  </si>
  <si>
    <t>Delgado Novoa</t>
  </si>
  <si>
    <t xml:space="preserve">Frida Azul </t>
  </si>
  <si>
    <t>Domínguez Hernández</t>
  </si>
  <si>
    <t>Luz América</t>
  </si>
  <si>
    <t>Ferreira Tavares</t>
  </si>
  <si>
    <t>Flores Godínez</t>
  </si>
  <si>
    <t>Cynthia Sofía</t>
  </si>
  <si>
    <t>Estrella Jazmín</t>
  </si>
  <si>
    <t>Franco Magallón</t>
  </si>
  <si>
    <t>Valentina</t>
  </si>
  <si>
    <t>Gómez Cruz</t>
  </si>
  <si>
    <t>Ivana Asenet</t>
  </si>
  <si>
    <t>Labra Sandoval</t>
  </si>
  <si>
    <t>Paola Fernanda</t>
  </si>
  <si>
    <t>Martínez Peregrina</t>
  </si>
  <si>
    <t>Yazmin Guadalupe</t>
  </si>
  <si>
    <t>Moreno Flores</t>
  </si>
  <si>
    <t>Ximena Paola</t>
  </si>
  <si>
    <t>Ramírez Alamilla</t>
  </si>
  <si>
    <t>Alexa Mariel</t>
  </si>
  <si>
    <t>Ramírez Hernández</t>
  </si>
  <si>
    <t>Carolina Isabel</t>
  </si>
  <si>
    <t>Sánchez Chávez</t>
  </si>
  <si>
    <t>Brisia Shkarled</t>
  </si>
  <si>
    <t>Tenorio Gutiérrez</t>
  </si>
  <si>
    <t>Lizeth Monserratt</t>
  </si>
  <si>
    <t>Valdivia de Alba</t>
  </si>
  <si>
    <t>Mariana Sophía</t>
  </si>
  <si>
    <t>Rosa Arisbeth</t>
  </si>
  <si>
    <t>Alvizo Flores</t>
  </si>
  <si>
    <t>Fernanda</t>
  </si>
  <si>
    <t>Casillas Zúñiza</t>
  </si>
  <si>
    <t>Claudia Shvpya</t>
  </si>
  <si>
    <t>Andrade Hernández</t>
  </si>
  <si>
    <t>GO / *Opción a CV definitiva</t>
  </si>
  <si>
    <t>*Pendiente firma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</si>
</sst>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dd/mm/yyyy;@"/>
    <numFmt numFmtId="165" formatCode="&quot;$&quot;#,##0.00"/>
    <numFmt numFmtId="166" formatCode="_-[$$-80A]* #,##0.00_-;\-[$$-80A]* #,##0.00_-;_-[$$-80A]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name val="Arial Black"/>
      <family val="2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13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b/>
      <sz val="15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7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15" fontId="0" fillId="0" borderId="1" xfId="0" applyNumberFormat="1" applyBorder="1"/>
    <xf numFmtId="0" fontId="0" fillId="3" borderId="1" xfId="0" applyFill="1" applyBorder="1"/>
    <xf numFmtId="164" fontId="0" fillId="0" borderId="0" xfId="0" applyNumberFormat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/>
    <xf numFmtId="14" fontId="10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4" fillId="0" borderId="1" xfId="1" applyNumberFormat="1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2" fontId="9" fillId="5" borderId="3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66" fontId="4" fillId="0" borderId="1" xfId="0" quotePrefix="1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166" fontId="4" fillId="0" borderId="1" xfId="1" quotePrefix="1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165" fontId="9" fillId="5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0" fillId="0" borderId="1" xfId="0" applyBorder="1"/>
    <xf numFmtId="3" fontId="13" fillId="0" borderId="0" xfId="0" applyNumberFormat="1" applyFont="1" applyAlignment="1">
      <alignment horizontal="left" vertical="center"/>
    </xf>
    <xf numFmtId="0" fontId="0" fillId="0" borderId="1" xfId="0" applyBorder="1" applyAlignment="1">
      <alignment vertical="center"/>
    </xf>
    <xf numFmtId="0" fontId="13" fillId="0" borderId="0" xfId="0" applyFont="1"/>
    <xf numFmtId="0" fontId="14" fillId="0" borderId="0" xfId="0" applyFont="1"/>
    <xf numFmtId="165" fontId="4" fillId="0" borderId="1" xfId="2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8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0" fillId="2" borderId="0" xfId="0" applyFill="1"/>
    <xf numFmtId="0" fontId="13" fillId="2" borderId="0" xfId="0" applyFont="1" applyFill="1"/>
    <xf numFmtId="0" fontId="4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Porcentaje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201613</xdr:colOff>
      <xdr:row>0</xdr:row>
      <xdr:rowOff>100013</xdr:rowOff>
    </xdr:from>
    <xdr:to>
      <xdr:col>1</xdr:col>
      <xdr:colOff>1010180</xdr:colOff>
      <xdr:row>0</xdr:row>
      <xdr:rowOff>842963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E20153-C47C-4BA5-B965-9AAF4E09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563" y="100013"/>
          <a:ext cx="808567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76200</xdr:rowOff>
    </xdr:from>
    <xdr:to>
      <xdr:col>1</xdr:col>
      <xdr:colOff>645584</xdr:colOff>
      <xdr:row>0</xdr:row>
      <xdr:rowOff>721631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663054-D498-47FC-8881-00F6230BC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76200"/>
          <a:ext cx="679450" cy="645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1</xdr:col>
      <xdr:colOff>748242</xdr:colOff>
      <xdr:row>0</xdr:row>
      <xdr:rowOff>819150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19E8DB-FC2B-4808-B092-7D4BD504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200"/>
          <a:ext cx="786342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1</xdr:col>
      <xdr:colOff>748242</xdr:colOff>
      <xdr:row>0</xdr:row>
      <xdr:rowOff>819150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9F620E-2BB3-4C57-BE3A-45C73B9B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200"/>
          <a:ext cx="786342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1</xdr:col>
      <xdr:colOff>785284</xdr:colOff>
      <xdr:row>0</xdr:row>
      <xdr:rowOff>819150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D96432-CC8A-4DEC-A684-8DB68830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200"/>
          <a:ext cx="786342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1</xdr:col>
      <xdr:colOff>785284</xdr:colOff>
      <xdr:row>0</xdr:row>
      <xdr:rowOff>819150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489FB9-643C-4F8C-A39C-C7691D5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76200"/>
          <a:ext cx="785284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1</xdr:col>
      <xdr:colOff>786342</xdr:colOff>
      <xdr:row>0</xdr:row>
      <xdr:rowOff>819150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639F93-2BEB-42AD-829B-AC2C0763C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200"/>
          <a:ext cx="786342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1</xdr:col>
      <xdr:colOff>786342</xdr:colOff>
      <xdr:row>0</xdr:row>
      <xdr:rowOff>819150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2D915D-DB7A-46A6-A8A1-61448654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200"/>
          <a:ext cx="792692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RL-11127/Documents/Control%20Interno/Vigencias/AP%202022/Vigencias%20Atlas%20AP%202022.xlsx" TargetMode="External"/><Relationship Id="rId1" Type="http://schemas.openxmlformats.org/officeDocument/2006/relationships/externalLinkPath" Target="file:///C:/Users/ORL-11127/Documents/Control%20Interno/Vigencias/AP%202022/Vigencias%20Atlas%20AP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RL-11127/Documents/Control%20Interno/Vigencias/AP%202023/Vigencias%20Atlas%20AP%202023.xlsx" TargetMode="External"/><Relationship Id="rId1" Type="http://schemas.openxmlformats.org/officeDocument/2006/relationships/externalLinkPath" Target="file:///C:/Users/ORL-11127/Documents/Control%20Interno/Vigencias/AP%202023/Vigencias%20Atlas%20AP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D"/>
      <sheetName val="Préstamo Expansión"/>
      <sheetName val="Sub20"/>
      <sheetName val="Sub18"/>
      <sheetName val="Sub16"/>
      <sheetName val="Sub14"/>
      <sheetName val="Femenil"/>
      <sheetName val="Femenil Sub18"/>
      <sheetName val="VT"/>
    </sheetNames>
    <sheetDataSet>
      <sheetData sheetId="0"/>
      <sheetData sheetId="1"/>
      <sheetData sheetId="2"/>
      <sheetData sheetId="3">
        <row r="1">
          <cell r="K1">
            <v>44840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D"/>
      <sheetName val="Préstamo Expansión"/>
      <sheetName val="Sub23"/>
      <sheetName val="Sub18"/>
      <sheetName val="Sub16"/>
      <sheetName val="Sub14"/>
      <sheetName val="Femenil"/>
      <sheetName val="Fem Sub 19"/>
      <sheetName val="VT"/>
    </sheetNames>
    <sheetDataSet>
      <sheetData sheetId="0" refreshError="1"/>
      <sheetData sheetId="1" refreshError="1"/>
      <sheetData sheetId="2" refreshError="1"/>
      <sheetData sheetId="3">
        <row r="1">
          <cell r="K1">
            <v>45349</v>
          </cell>
        </row>
      </sheetData>
      <sheetData sheetId="4">
        <row r="1">
          <cell r="K1">
            <v>45349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918C-3DAD-43F7-97A0-5823376E3E15}">
  <dimension ref="A1:R34"/>
  <sheetViews>
    <sheetView showGridLines="0" zoomScale="81" zoomScaleNormal="81" workbookViewId="0">
      <pane ySplit="2" topLeftCell="A3" activePane="bottomLeft" state="frozen"/>
      <selection pane="bottomLeft" activeCell="C9" sqref="C9"/>
    </sheetView>
  </sheetViews>
  <sheetFormatPr baseColWidth="10" defaultRowHeight="17" x14ac:dyDescent="0.2"/>
  <cols>
    <col min="1" max="1" width="5.1640625" style="3" customWidth="1"/>
    <col min="2" max="2" width="15.6640625" customWidth="1"/>
    <col min="3" max="3" width="18.83203125" customWidth="1"/>
    <col min="4" max="4" width="15" customWidth="1"/>
    <col min="5" max="5" width="9.1640625" style="6" hidden="1" customWidth="1"/>
    <col min="6" max="6" width="17.6640625" style="6" customWidth="1"/>
    <col min="7" max="7" width="12.5" customWidth="1"/>
    <col min="8" max="8" width="16.6640625" customWidth="1"/>
    <col min="9" max="9" width="12.33203125" style="7" customWidth="1"/>
    <col min="10" max="10" width="0.1640625" hidden="1" customWidth="1"/>
    <col min="11" max="11" width="1.33203125" hidden="1" customWidth="1"/>
    <col min="12" max="16" width="10.83203125" hidden="1" customWidth="1"/>
    <col min="17" max="17" width="4.83203125" customWidth="1"/>
  </cols>
  <sheetData>
    <row r="1" spans="1:18" ht="68.25" customHeight="1" x14ac:dyDescent="0.2">
      <c r="A1" s="72" t="s">
        <v>67</v>
      </c>
      <c r="B1" s="72"/>
      <c r="C1" s="72"/>
      <c r="D1" s="72"/>
      <c r="E1" s="72"/>
      <c r="F1" s="72"/>
      <c r="G1" s="72"/>
      <c r="H1" s="72"/>
      <c r="I1" s="13">
        <f ca="1">TODAY()</f>
        <v>46104</v>
      </c>
      <c r="J1" s="25"/>
    </row>
    <row r="2" spans="1:18" ht="27.75" customHeight="1" x14ac:dyDescent="0.2">
      <c r="A2" s="31" t="s">
        <v>18</v>
      </c>
      <c r="B2" s="31" t="s">
        <v>9</v>
      </c>
      <c r="C2" s="31" t="s">
        <v>10</v>
      </c>
      <c r="D2" s="32" t="s">
        <v>11</v>
      </c>
      <c r="E2" s="33"/>
      <c r="F2" s="31" t="s">
        <v>151</v>
      </c>
      <c r="G2" s="34" t="s">
        <v>23</v>
      </c>
      <c r="H2" s="31" t="s">
        <v>17</v>
      </c>
      <c r="I2" s="35" t="s">
        <v>12</v>
      </c>
    </row>
    <row r="3" spans="1:18" s="24" customFormat="1" ht="17" customHeight="1" x14ac:dyDescent="0.2">
      <c r="A3" s="33">
        <v>1</v>
      </c>
      <c r="B3" s="11" t="s">
        <v>326</v>
      </c>
      <c r="C3" s="11" t="s">
        <v>327</v>
      </c>
      <c r="D3" s="11" t="s">
        <v>27</v>
      </c>
      <c r="E3" s="12">
        <v>45473</v>
      </c>
      <c r="F3" s="10">
        <v>875000</v>
      </c>
      <c r="G3" s="11" t="s">
        <v>24</v>
      </c>
      <c r="H3" s="8">
        <f t="shared" ref="H3:H26" ca="1" si="0">E3-$I$1</f>
        <v>-631</v>
      </c>
      <c r="I3" s="11">
        <f t="shared" ref="I3:I26" ca="1" si="1">H3</f>
        <v>-631</v>
      </c>
      <c r="J3" s="43"/>
      <c r="K3"/>
      <c r="L3"/>
      <c r="M3"/>
      <c r="N3"/>
      <c r="O3"/>
      <c r="P3"/>
      <c r="Q3"/>
      <c r="R3"/>
    </row>
    <row r="4" spans="1:18" x14ac:dyDescent="0.2">
      <c r="A4" s="33">
        <v>2</v>
      </c>
      <c r="B4" s="11" t="s">
        <v>82</v>
      </c>
      <c r="C4" s="11" t="s">
        <v>65</v>
      </c>
      <c r="D4" s="11" t="s">
        <v>32</v>
      </c>
      <c r="E4" s="12">
        <v>46387</v>
      </c>
      <c r="F4" s="10">
        <v>354166.67</v>
      </c>
      <c r="G4" s="11" t="s">
        <v>24</v>
      </c>
      <c r="H4" s="8">
        <f t="shared" ca="1" si="0"/>
        <v>283</v>
      </c>
      <c r="I4" s="11">
        <f t="shared" ca="1" si="1"/>
        <v>283</v>
      </c>
      <c r="J4" s="27"/>
    </row>
    <row r="5" spans="1:18" x14ac:dyDescent="0.2">
      <c r="A5" s="33">
        <v>3</v>
      </c>
      <c r="B5" s="11" t="s">
        <v>167</v>
      </c>
      <c r="C5" s="11" t="s">
        <v>168</v>
      </c>
      <c r="D5" s="11" t="s">
        <v>29</v>
      </c>
      <c r="E5" s="12">
        <v>45838</v>
      </c>
      <c r="F5" s="10">
        <v>35000</v>
      </c>
      <c r="G5" s="11" t="s">
        <v>24</v>
      </c>
      <c r="H5" s="8">
        <f t="shared" ca="1" si="0"/>
        <v>-266</v>
      </c>
      <c r="I5" s="11">
        <f t="shared" ca="1" si="1"/>
        <v>-266</v>
      </c>
      <c r="J5" s="43"/>
    </row>
    <row r="6" spans="1:18" x14ac:dyDescent="0.2">
      <c r="A6" s="33">
        <v>4</v>
      </c>
      <c r="B6" s="11" t="s">
        <v>429</v>
      </c>
      <c r="C6" s="11" t="s">
        <v>430</v>
      </c>
      <c r="D6" s="11" t="s">
        <v>35</v>
      </c>
      <c r="E6" s="12">
        <v>46934</v>
      </c>
      <c r="F6" s="9">
        <v>1038333.33</v>
      </c>
      <c r="G6" s="9">
        <v>17</v>
      </c>
      <c r="H6" s="8">
        <f t="shared" ca="1" si="0"/>
        <v>830</v>
      </c>
      <c r="I6" s="11">
        <f t="shared" ca="1" si="1"/>
        <v>830</v>
      </c>
      <c r="J6" s="43"/>
      <c r="Q6" s="59"/>
    </row>
    <row r="7" spans="1:18" x14ac:dyDescent="0.2">
      <c r="A7" s="33">
        <v>5</v>
      </c>
      <c r="B7" s="11" t="s">
        <v>239</v>
      </c>
      <c r="C7" s="11" t="s">
        <v>240</v>
      </c>
      <c r="D7" s="11" t="s">
        <v>29</v>
      </c>
      <c r="E7" s="12">
        <v>45838</v>
      </c>
      <c r="F7" s="10">
        <v>291666.67</v>
      </c>
      <c r="G7" s="11" t="s">
        <v>24</v>
      </c>
      <c r="H7" s="8">
        <f t="shared" ca="1" si="0"/>
        <v>-266</v>
      </c>
      <c r="I7" s="11">
        <f t="shared" ca="1" si="1"/>
        <v>-266</v>
      </c>
      <c r="J7" s="43" t="s">
        <v>161</v>
      </c>
      <c r="Q7" s="60"/>
    </row>
    <row r="8" spans="1:18" x14ac:dyDescent="0.2">
      <c r="A8" s="33">
        <v>6</v>
      </c>
      <c r="B8" s="11" t="s">
        <v>494</v>
      </c>
      <c r="C8" s="11" t="s">
        <v>495</v>
      </c>
      <c r="D8" s="11" t="s">
        <v>28</v>
      </c>
      <c r="E8" s="12">
        <v>45657</v>
      </c>
      <c r="F8" s="10">
        <v>350000</v>
      </c>
      <c r="G8" s="9" t="s">
        <v>24</v>
      </c>
      <c r="H8" s="8">
        <f t="shared" ca="1" si="0"/>
        <v>-447</v>
      </c>
      <c r="I8" s="11">
        <f t="shared" ca="1" si="1"/>
        <v>-447</v>
      </c>
      <c r="J8" s="43"/>
      <c r="Q8" s="59" t="s">
        <v>330</v>
      </c>
    </row>
    <row r="9" spans="1:18" x14ac:dyDescent="0.2">
      <c r="A9" s="33">
        <v>7</v>
      </c>
      <c r="B9" s="11" t="s">
        <v>324</v>
      </c>
      <c r="C9" s="11" t="s">
        <v>325</v>
      </c>
      <c r="D9" s="11" t="s">
        <v>33</v>
      </c>
      <c r="E9" s="12">
        <v>46568</v>
      </c>
      <c r="F9" s="10">
        <v>656250</v>
      </c>
      <c r="G9" s="9">
        <v>17.5</v>
      </c>
      <c r="H9" s="8">
        <f t="shared" ca="1" si="0"/>
        <v>464</v>
      </c>
      <c r="I9" s="11">
        <f t="shared" ca="1" si="1"/>
        <v>464</v>
      </c>
      <c r="J9" s="43"/>
      <c r="K9" s="43"/>
      <c r="L9" s="43"/>
    </row>
    <row r="10" spans="1:18" x14ac:dyDescent="0.2">
      <c r="A10" s="33">
        <v>8</v>
      </c>
      <c r="B10" s="11" t="s">
        <v>117</v>
      </c>
      <c r="C10" s="11" t="s">
        <v>118</v>
      </c>
      <c r="D10" s="11" t="s">
        <v>30</v>
      </c>
      <c r="E10" s="12">
        <v>46022</v>
      </c>
      <c r="F10" s="9">
        <v>34000</v>
      </c>
      <c r="G10" s="11" t="s">
        <v>24</v>
      </c>
      <c r="H10" s="8">
        <f t="shared" ca="1" si="0"/>
        <v>-82</v>
      </c>
      <c r="I10" s="11">
        <f t="shared" ca="1" si="1"/>
        <v>-82</v>
      </c>
      <c r="J10" s="43"/>
      <c r="K10" s="43"/>
      <c r="L10" s="43"/>
    </row>
    <row r="11" spans="1:18" x14ac:dyDescent="0.2">
      <c r="A11" s="33">
        <v>9</v>
      </c>
      <c r="B11" s="11" t="s">
        <v>68</v>
      </c>
      <c r="C11" s="11" t="s">
        <v>69</v>
      </c>
      <c r="D11" s="11" t="s">
        <v>29</v>
      </c>
      <c r="E11" s="12">
        <v>45838</v>
      </c>
      <c r="F11" s="9">
        <v>214583.33</v>
      </c>
      <c r="G11" s="11" t="s">
        <v>24</v>
      </c>
      <c r="H11" s="8">
        <f t="shared" ca="1" si="0"/>
        <v>-266</v>
      </c>
      <c r="I11" s="11">
        <f t="shared" ca="1" si="1"/>
        <v>-266</v>
      </c>
      <c r="J11" s="43"/>
    </row>
    <row r="12" spans="1:18" x14ac:dyDescent="0.2">
      <c r="A12" s="33">
        <v>10</v>
      </c>
      <c r="B12" s="11" t="s">
        <v>300</v>
      </c>
      <c r="C12" s="11" t="s">
        <v>301</v>
      </c>
      <c r="D12" s="11" t="s">
        <v>30</v>
      </c>
      <c r="E12" s="12">
        <v>46022</v>
      </c>
      <c r="F12" s="10">
        <v>1083333.33</v>
      </c>
      <c r="G12" s="11" t="s">
        <v>24</v>
      </c>
      <c r="H12" s="8">
        <f t="shared" ca="1" si="0"/>
        <v>-82</v>
      </c>
      <c r="I12" s="11">
        <f t="shared" ca="1" si="1"/>
        <v>-82</v>
      </c>
      <c r="J12" s="43"/>
      <c r="K12" s="26"/>
    </row>
    <row r="13" spans="1:18" x14ac:dyDescent="0.2">
      <c r="A13" s="33">
        <v>11</v>
      </c>
      <c r="B13" s="11" t="s">
        <v>331</v>
      </c>
      <c r="C13" s="11" t="s">
        <v>332</v>
      </c>
      <c r="D13" s="11" t="s">
        <v>34</v>
      </c>
      <c r="E13" s="12">
        <v>46752</v>
      </c>
      <c r="F13" s="9">
        <v>180000</v>
      </c>
      <c r="G13" s="11" t="s">
        <v>24</v>
      </c>
      <c r="H13" s="8">
        <f t="shared" ca="1" si="0"/>
        <v>648</v>
      </c>
      <c r="I13" s="11">
        <f t="shared" ca="1" si="1"/>
        <v>648</v>
      </c>
      <c r="J13" s="43"/>
      <c r="K13" s="26"/>
    </row>
    <row r="14" spans="1:18" x14ac:dyDescent="0.2">
      <c r="A14" s="33">
        <v>12</v>
      </c>
      <c r="B14" s="11" t="s">
        <v>235</v>
      </c>
      <c r="C14" s="11" t="s">
        <v>236</v>
      </c>
      <c r="D14" s="11" t="s">
        <v>31</v>
      </c>
      <c r="E14" s="12">
        <v>46203</v>
      </c>
      <c r="F14" s="10">
        <v>1200000</v>
      </c>
      <c r="G14" s="9">
        <v>20</v>
      </c>
      <c r="H14" s="8">
        <f t="shared" ca="1" si="0"/>
        <v>99</v>
      </c>
      <c r="I14" s="11">
        <f t="shared" ca="1" si="1"/>
        <v>99</v>
      </c>
      <c r="J14" s="43"/>
      <c r="K14" s="26"/>
    </row>
    <row r="15" spans="1:18" x14ac:dyDescent="0.2">
      <c r="A15" s="33">
        <v>13</v>
      </c>
      <c r="B15" s="11" t="s">
        <v>88</v>
      </c>
      <c r="C15" s="11" t="s">
        <v>89</v>
      </c>
      <c r="D15" s="11" t="s">
        <v>32</v>
      </c>
      <c r="E15" s="12">
        <v>46387</v>
      </c>
      <c r="F15" s="10">
        <v>333333.33</v>
      </c>
      <c r="G15" s="11" t="s">
        <v>24</v>
      </c>
      <c r="H15" s="8">
        <f t="shared" ca="1" si="0"/>
        <v>283</v>
      </c>
      <c r="I15" s="11">
        <f t="shared" ca="1" si="1"/>
        <v>283</v>
      </c>
      <c r="J15" s="44"/>
      <c r="K15" s="26"/>
    </row>
    <row r="16" spans="1:18" x14ac:dyDescent="0.2">
      <c r="A16" s="33">
        <v>14</v>
      </c>
      <c r="B16" s="11" t="s">
        <v>496</v>
      </c>
      <c r="C16" s="11" t="s">
        <v>497</v>
      </c>
      <c r="D16" s="11" t="s">
        <v>28</v>
      </c>
      <c r="E16" s="12">
        <v>45657</v>
      </c>
      <c r="F16" s="10">
        <v>1000000</v>
      </c>
      <c r="G16" s="11" t="s">
        <v>24</v>
      </c>
      <c r="H16" s="8">
        <f t="shared" ca="1" si="0"/>
        <v>-447</v>
      </c>
      <c r="I16" s="11">
        <f t="shared" ca="1" si="1"/>
        <v>-447</v>
      </c>
      <c r="J16" s="43"/>
      <c r="K16" s="26"/>
      <c r="Q16" s="59" t="s">
        <v>330</v>
      </c>
    </row>
    <row r="17" spans="1:18" x14ac:dyDescent="0.2">
      <c r="A17" s="33">
        <v>15</v>
      </c>
      <c r="B17" s="11" t="s">
        <v>72</v>
      </c>
      <c r="C17" s="11" t="s">
        <v>73</v>
      </c>
      <c r="D17" s="11" t="s">
        <v>28</v>
      </c>
      <c r="E17" s="12">
        <v>45657</v>
      </c>
      <c r="F17" s="10">
        <v>1416666.67</v>
      </c>
      <c r="G17" s="9" t="s">
        <v>24</v>
      </c>
      <c r="H17" s="8">
        <f t="shared" ca="1" si="0"/>
        <v>-447</v>
      </c>
      <c r="I17" s="11">
        <f t="shared" ca="1" si="1"/>
        <v>-447</v>
      </c>
      <c r="J17" s="43" t="s">
        <v>146</v>
      </c>
      <c r="K17" s="26"/>
    </row>
    <row r="18" spans="1:18" x14ac:dyDescent="0.2">
      <c r="A18" s="33">
        <v>16</v>
      </c>
      <c r="B18" s="11" t="s">
        <v>159</v>
      </c>
      <c r="C18" s="11" t="s">
        <v>160</v>
      </c>
      <c r="D18" s="11" t="s">
        <v>28</v>
      </c>
      <c r="E18" s="12">
        <v>45657</v>
      </c>
      <c r="F18" s="10">
        <v>726000</v>
      </c>
      <c r="G18" s="11" t="s">
        <v>24</v>
      </c>
      <c r="H18" s="8">
        <f t="shared" ca="1" si="0"/>
        <v>-447</v>
      </c>
      <c r="I18" s="11">
        <f t="shared" ca="1" si="1"/>
        <v>-447</v>
      </c>
      <c r="J18" s="43"/>
    </row>
    <row r="19" spans="1:18" x14ac:dyDescent="0.2">
      <c r="A19" s="33">
        <v>17</v>
      </c>
      <c r="B19" s="11" t="s">
        <v>99</v>
      </c>
      <c r="C19" s="11" t="s">
        <v>100</v>
      </c>
      <c r="D19" s="11" t="s">
        <v>34</v>
      </c>
      <c r="E19" s="12">
        <v>46752</v>
      </c>
      <c r="F19" s="10">
        <v>80000</v>
      </c>
      <c r="G19" s="11" t="s">
        <v>24</v>
      </c>
      <c r="H19" s="8">
        <f t="shared" ca="1" si="0"/>
        <v>648</v>
      </c>
      <c r="I19" s="11">
        <f t="shared" ca="1" si="1"/>
        <v>648</v>
      </c>
      <c r="J19" s="43"/>
    </row>
    <row r="20" spans="1:18" x14ac:dyDescent="0.2">
      <c r="A20" s="33">
        <v>18</v>
      </c>
      <c r="B20" s="11" t="s">
        <v>157</v>
      </c>
      <c r="C20" s="11" t="s">
        <v>158</v>
      </c>
      <c r="D20" s="11" t="s">
        <v>31</v>
      </c>
      <c r="E20" s="12">
        <v>46203</v>
      </c>
      <c r="F20" s="10">
        <v>1750000</v>
      </c>
      <c r="G20" s="11" t="s">
        <v>24</v>
      </c>
      <c r="H20" s="8">
        <f t="shared" ca="1" si="0"/>
        <v>99</v>
      </c>
      <c r="I20" s="11">
        <f t="shared" ca="1" si="1"/>
        <v>99</v>
      </c>
      <c r="J20" s="43"/>
      <c r="Q20" s="59"/>
    </row>
    <row r="21" spans="1:18" s="21" customFormat="1" ht="17" customHeight="1" x14ac:dyDescent="0.2">
      <c r="A21" s="33">
        <v>19</v>
      </c>
      <c r="B21" s="11" t="s">
        <v>74</v>
      </c>
      <c r="C21" s="11" t="s">
        <v>75</v>
      </c>
      <c r="D21" s="11" t="s">
        <v>30</v>
      </c>
      <c r="E21" s="12">
        <v>46022</v>
      </c>
      <c r="F21" s="10">
        <v>1291666.67</v>
      </c>
      <c r="G21" s="9" t="s">
        <v>24</v>
      </c>
      <c r="H21" s="8">
        <f t="shared" ca="1" si="0"/>
        <v>-82</v>
      </c>
      <c r="I21" s="11">
        <f t="shared" ca="1" si="1"/>
        <v>-82</v>
      </c>
      <c r="J21" s="55" t="s">
        <v>246</v>
      </c>
      <c r="K21"/>
      <c r="L21"/>
      <c r="M21"/>
      <c r="N21"/>
      <c r="O21"/>
      <c r="P21"/>
      <c r="Q21"/>
      <c r="R21"/>
    </row>
    <row r="22" spans="1:18" x14ac:dyDescent="0.2">
      <c r="A22" s="33">
        <v>20</v>
      </c>
      <c r="B22" s="11" t="s">
        <v>333</v>
      </c>
      <c r="C22" s="11" t="s">
        <v>334</v>
      </c>
      <c r="D22" s="11" t="s">
        <v>29</v>
      </c>
      <c r="E22" s="12">
        <v>45838</v>
      </c>
      <c r="F22" s="10">
        <v>927272.73</v>
      </c>
      <c r="G22" s="61">
        <v>17</v>
      </c>
      <c r="H22" s="8">
        <f t="shared" ca="1" si="0"/>
        <v>-266</v>
      </c>
      <c r="I22" s="11">
        <f t="shared" ca="1" si="1"/>
        <v>-266</v>
      </c>
      <c r="J22" s="43"/>
      <c r="Q22" s="59"/>
    </row>
    <row r="23" spans="1:18" x14ac:dyDescent="0.2">
      <c r="A23" s="33">
        <v>21</v>
      </c>
      <c r="B23" s="11" t="s">
        <v>92</v>
      </c>
      <c r="C23" s="11" t="s">
        <v>93</v>
      </c>
      <c r="D23" s="11" t="s">
        <v>29</v>
      </c>
      <c r="E23" s="12">
        <v>45838</v>
      </c>
      <c r="F23" s="10">
        <v>240833.33</v>
      </c>
      <c r="G23" s="11" t="s">
        <v>24</v>
      </c>
      <c r="H23" s="8">
        <f t="shared" ca="1" si="0"/>
        <v>-266</v>
      </c>
      <c r="I23" s="11">
        <f t="shared" ca="1" si="1"/>
        <v>-266</v>
      </c>
      <c r="J23" s="54" t="s">
        <v>234</v>
      </c>
    </row>
    <row r="24" spans="1:18" x14ac:dyDescent="0.2">
      <c r="A24" s="33">
        <v>22</v>
      </c>
      <c r="B24" s="11" t="s">
        <v>70</v>
      </c>
      <c r="C24" s="11" t="s">
        <v>71</v>
      </c>
      <c r="D24" s="11" t="s">
        <v>31</v>
      </c>
      <c r="E24" s="12">
        <v>46203</v>
      </c>
      <c r="F24" s="9">
        <v>1288541.67</v>
      </c>
      <c r="G24" s="11" t="s">
        <v>24</v>
      </c>
      <c r="H24" s="8">
        <f t="shared" ca="1" si="0"/>
        <v>99</v>
      </c>
      <c r="I24" s="11">
        <f t="shared" ca="1" si="1"/>
        <v>99</v>
      </c>
      <c r="J24" s="43"/>
    </row>
    <row r="25" spans="1:18" x14ac:dyDescent="0.2">
      <c r="A25" s="33">
        <v>23</v>
      </c>
      <c r="B25" s="11" t="s">
        <v>76</v>
      </c>
      <c r="C25" s="11" t="s">
        <v>77</v>
      </c>
      <c r="D25" s="11" t="s">
        <v>32</v>
      </c>
      <c r="E25" s="12">
        <v>46387</v>
      </c>
      <c r="F25" s="10">
        <v>479166.67</v>
      </c>
      <c r="G25" s="11" t="s">
        <v>24</v>
      </c>
      <c r="H25" s="8">
        <f t="shared" ca="1" si="0"/>
        <v>283</v>
      </c>
      <c r="I25" s="11">
        <f t="shared" ca="1" si="1"/>
        <v>283</v>
      </c>
      <c r="J25" s="57"/>
    </row>
    <row r="26" spans="1:18" ht="17.5" customHeight="1" x14ac:dyDescent="0.2">
      <c r="A26" s="33">
        <v>24</v>
      </c>
      <c r="B26" s="11" t="s">
        <v>328</v>
      </c>
      <c r="C26" s="11" t="s">
        <v>329</v>
      </c>
      <c r="D26" s="11" t="s">
        <v>27</v>
      </c>
      <c r="E26" s="12">
        <v>45473</v>
      </c>
      <c r="F26" s="9">
        <v>280000</v>
      </c>
      <c r="G26" s="11" t="s">
        <v>24</v>
      </c>
      <c r="H26" s="8">
        <f t="shared" ca="1" si="0"/>
        <v>-631</v>
      </c>
      <c r="I26" s="11">
        <f t="shared" ca="1" si="1"/>
        <v>-631</v>
      </c>
      <c r="J26" s="43"/>
      <c r="Q26" s="59" t="s">
        <v>330</v>
      </c>
    </row>
    <row r="27" spans="1:18" s="69" customFormat="1" x14ac:dyDescent="0.2">
      <c r="A27" s="62"/>
      <c r="B27" s="63"/>
      <c r="C27" s="63"/>
      <c r="D27" s="63"/>
      <c r="E27" s="64"/>
      <c r="F27" s="65"/>
      <c r="G27" s="66"/>
      <c r="H27" s="67"/>
      <c r="I27" s="63"/>
      <c r="J27" s="68"/>
      <c r="Q27" s="70"/>
    </row>
    <row r="28" spans="1:18" ht="24.75" customHeight="1" x14ac:dyDescent="0.2">
      <c r="A28" s="73" t="s">
        <v>78</v>
      </c>
      <c r="B28" s="73"/>
      <c r="C28" s="73"/>
      <c r="D28" s="73"/>
      <c r="E28" s="73"/>
      <c r="F28" s="73"/>
      <c r="G28" s="73"/>
      <c r="H28" s="73"/>
      <c r="I28" s="73"/>
      <c r="J28" s="15"/>
      <c r="K28" s="15"/>
    </row>
    <row r="29" spans="1:18" ht="26" x14ac:dyDescent="0.2">
      <c r="A29" s="36" t="s">
        <v>18</v>
      </c>
      <c r="B29" s="36" t="s">
        <v>9</v>
      </c>
      <c r="C29" s="36" t="s">
        <v>10</v>
      </c>
      <c r="D29" s="37" t="s">
        <v>79</v>
      </c>
      <c r="E29" s="38"/>
      <c r="F29" s="39" t="s">
        <v>80</v>
      </c>
      <c r="G29" s="40" t="s">
        <v>81</v>
      </c>
      <c r="H29" s="36" t="s">
        <v>17</v>
      </c>
      <c r="I29" s="41" t="s">
        <v>12</v>
      </c>
      <c r="J29" s="15"/>
      <c r="K29" s="15"/>
    </row>
    <row r="30" spans="1:18" x14ac:dyDescent="0.2">
      <c r="A30" s="33">
        <v>1</v>
      </c>
      <c r="B30" s="11" t="s">
        <v>297</v>
      </c>
      <c r="C30" s="11" t="s">
        <v>298</v>
      </c>
      <c r="D30" s="11" t="s">
        <v>30</v>
      </c>
      <c r="E30" s="12">
        <v>46022</v>
      </c>
      <c r="F30" s="12" t="s">
        <v>445</v>
      </c>
      <c r="G30" s="22" t="s">
        <v>323</v>
      </c>
      <c r="H30" s="16">
        <f ca="1">E30-$I$1</f>
        <v>-82</v>
      </c>
      <c r="I30" s="47">
        <f t="shared" ref="I30" ca="1" si="2">H30</f>
        <v>-82</v>
      </c>
      <c r="J30" s="8" t="e">
        <f ca="1">F30-'Sub18'!$K$1</f>
        <v>#VALUE!</v>
      </c>
      <c r="K30" s="11" t="e">
        <f ca="1">J30</f>
        <v>#VALUE!</v>
      </c>
      <c r="L30" s="49">
        <f ca="1">'Sub18'!$K$1-H30</f>
        <v>46186</v>
      </c>
      <c r="M30" s="49">
        <f ca="1">L30/365</f>
        <v>126.53698630136986</v>
      </c>
      <c r="N30" s="49">
        <f ca="1">_xlfn.FLOOR.MATH(M30)</f>
        <v>126</v>
      </c>
      <c r="O30" s="49">
        <f ca="1">L30-(N30*365)</f>
        <v>196</v>
      </c>
      <c r="P30" s="49">
        <f ca="1">_xlfn.FLOOR.MATH(O30/30)</f>
        <v>6</v>
      </c>
      <c r="Q30" s="43" t="s">
        <v>541</v>
      </c>
    </row>
    <row r="31" spans="1:18" x14ac:dyDescent="0.2">
      <c r="A31" s="33">
        <v>2</v>
      </c>
      <c r="B31" s="11" t="s">
        <v>237</v>
      </c>
      <c r="C31" s="11" t="s">
        <v>238</v>
      </c>
      <c r="D31" s="11" t="s">
        <v>31</v>
      </c>
      <c r="E31" s="12">
        <v>46203</v>
      </c>
      <c r="F31" s="12" t="s">
        <v>445</v>
      </c>
      <c r="G31" s="11" t="s">
        <v>431</v>
      </c>
      <c r="H31" s="8">
        <f ca="1">E31-$I$1</f>
        <v>99</v>
      </c>
      <c r="I31" s="11">
        <f ca="1">H31</f>
        <v>99</v>
      </c>
      <c r="J31" s="43"/>
      <c r="K31" s="26"/>
    </row>
    <row r="32" spans="1:18" x14ac:dyDescent="0.2">
      <c r="A32" s="33">
        <v>3</v>
      </c>
      <c r="B32" s="11" t="s">
        <v>148</v>
      </c>
      <c r="C32" s="11" t="s">
        <v>149</v>
      </c>
      <c r="D32" s="11" t="s">
        <v>29</v>
      </c>
      <c r="E32" s="12">
        <v>45838</v>
      </c>
      <c r="F32" s="12" t="s">
        <v>445</v>
      </c>
      <c r="G32" s="11" t="s">
        <v>493</v>
      </c>
      <c r="H32" s="8">
        <f ca="1">E32-$I$1</f>
        <v>-266</v>
      </c>
      <c r="I32" s="11">
        <f ca="1">H32</f>
        <v>-266</v>
      </c>
      <c r="J32" s="43"/>
      <c r="K32" s="26"/>
      <c r="Q32" s="59" t="s">
        <v>330</v>
      </c>
    </row>
    <row r="33" spans="2:9" ht="15" x14ac:dyDescent="0.2">
      <c r="B33" s="28"/>
      <c r="C33" s="29"/>
      <c r="D33" s="29"/>
      <c r="E33" s="30"/>
      <c r="F33" s="30"/>
      <c r="G33" s="29"/>
      <c r="H33" s="29"/>
      <c r="I33" s="29"/>
    </row>
    <row r="34" spans="2:9" ht="15" x14ac:dyDescent="0.2">
      <c r="B34" s="28"/>
      <c r="C34" s="29"/>
      <c r="D34" s="29"/>
      <c r="E34" s="30"/>
      <c r="F34" s="30"/>
      <c r="G34" s="29"/>
      <c r="H34" s="29"/>
      <c r="I34" s="29"/>
    </row>
  </sheetData>
  <sheetProtection algorithmName="SHA-512" hashValue="l+QGFmrg1FqdRCAnkiIyo+amRdfDHsEi3TKalTUuM6wQTVyHEZakaoNBMcIEc4VYEZH46ywJMJpWch4FRkXd/Q==" saltValue="bXM8d2WXP2UlIYcy+/SDvw==" spinCount="100000" sheet="1" sort="0" autoFilter="0"/>
  <sortState xmlns:xlrd2="http://schemas.microsoft.com/office/spreadsheetml/2017/richdata2" ref="A3:J26">
    <sortCondition ref="C3:C26"/>
  </sortState>
  <mergeCells count="2">
    <mergeCell ref="A1:H1"/>
    <mergeCell ref="A28:I28"/>
  </mergeCells>
  <conditionalFormatting sqref="D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27">
    <cfRule type="containsText" dxfId="10" priority="1" operator="containsText" text="Clausura 2018">
      <formula>NOT(ISERROR(SEARCH("Clausura 2018",E3)))</formula>
    </cfRule>
  </conditionalFormatting>
  <conditionalFormatting sqref="E2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:F32">
    <cfRule type="containsText" dxfId="9" priority="5" operator="containsText" text="Clausura 2018">
      <formula>NOT(ISERROR(SEARCH("Clausura 2018",E30)))</formula>
    </cfRule>
  </conditionalFormatting>
  <conditionalFormatting sqref="F2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G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6">
    <cfRule type="iconSet" priority="32">
      <iconSet iconSet="3Symbols" showValue="0">
        <cfvo type="percent" val="0"/>
        <cfvo type="num" val="365"/>
        <cfvo type="num" val="547"/>
      </iconSet>
    </cfRule>
  </conditionalFormatting>
  <conditionalFormatting sqref="H7:H10">
    <cfRule type="iconSet" priority="772">
      <iconSet iconSet="3Symbols" showValue="0">
        <cfvo type="percent" val="0"/>
        <cfvo type="num" val="365"/>
        <cfvo type="num" val="547"/>
      </iconSet>
    </cfRule>
  </conditionalFormatting>
  <conditionalFormatting sqref="H11">
    <cfRule type="iconSet" priority="24">
      <iconSet iconSet="3Symbols" showValue="0">
        <cfvo type="percent" val="0"/>
        <cfvo type="num" val="365"/>
        <cfvo type="num" val="547"/>
      </iconSet>
    </cfRule>
  </conditionalFormatting>
  <conditionalFormatting sqref="H14">
    <cfRule type="iconSet" priority="36">
      <iconSet iconSet="3Symbols" showValue="0">
        <cfvo type="percent" val="0"/>
        <cfvo type="num" val="365"/>
        <cfvo type="num" val="547"/>
      </iconSet>
    </cfRule>
  </conditionalFormatting>
  <conditionalFormatting sqref="H16:H17">
    <cfRule type="iconSet" priority="900">
      <iconSet iconSet="3Symbols" showValue="0">
        <cfvo type="percent" val="0"/>
        <cfvo type="num" val="365"/>
        <cfvo type="num" val="547"/>
      </iconSet>
    </cfRule>
  </conditionalFormatting>
  <conditionalFormatting sqref="H2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">
    <cfRule type="iconSet" priority="760">
      <iconSet iconSet="3Symbols" showValue="0">
        <cfvo type="percent" val="0"/>
        <cfvo type="num" val="365"/>
        <cfvo type="num" val="547"/>
      </iconSet>
    </cfRule>
  </conditionalFormatting>
  <conditionalFormatting sqref="H31:H32 H15 H12:H13 H18:H27">
    <cfRule type="iconSet" priority="848">
      <iconSet iconSet="3Symbols" showValue="0">
        <cfvo type="percent" val="0"/>
        <cfvo type="num" val="365"/>
        <cfvo type="num" val="547"/>
      </iconSet>
    </cfRule>
  </conditionalFormatting>
  <conditionalFormatting sqref="I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">
    <cfRule type="iconSet" priority="10">
      <iconSet iconSet="3Symbols" showValue="0">
        <cfvo type="percent" val="0"/>
        <cfvo type="num" val="365"/>
        <cfvo type="num" val="547"/>
      </iconSet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CA3A-7753-42CD-A039-EC2490759BBB}">
  <sheetPr codeName="Hoja2"/>
  <dimension ref="A1:P6"/>
  <sheetViews>
    <sheetView showGridLines="0" zoomScale="80" zoomScaleNormal="80" workbookViewId="0">
      <pane ySplit="2" topLeftCell="A3" activePane="bottomLeft" state="frozen"/>
      <selection pane="bottomLeft" activeCell="I10" sqref="I10"/>
    </sheetView>
  </sheetViews>
  <sheetFormatPr baseColWidth="10" defaultRowHeight="17" x14ac:dyDescent="0.2"/>
  <cols>
    <col min="1" max="1" width="5.1640625" style="3" customWidth="1"/>
    <col min="2" max="2" width="15.6640625" customWidth="1"/>
    <col min="3" max="3" width="17.5" bestFit="1" customWidth="1"/>
    <col min="4" max="4" width="11.33203125" customWidth="1"/>
    <col min="5" max="5" width="12.5" style="6" hidden="1" customWidth="1"/>
    <col min="6" max="6" width="14" style="6" customWidth="1"/>
    <col min="7" max="7" width="15" customWidth="1"/>
    <col min="8" max="8" width="12" bestFit="1" customWidth="1"/>
    <col min="9" max="9" width="14.1640625" style="7" customWidth="1"/>
    <col min="10" max="10" width="6.5" customWidth="1"/>
    <col min="11" max="11" width="7.33203125" customWidth="1"/>
  </cols>
  <sheetData>
    <row r="1" spans="1:16" ht="68.25" customHeight="1" x14ac:dyDescent="0.2">
      <c r="A1" s="72" t="s">
        <v>216</v>
      </c>
      <c r="B1" s="72"/>
      <c r="C1" s="72"/>
      <c r="D1" s="72"/>
      <c r="E1" s="72"/>
      <c r="F1" s="72"/>
      <c r="G1" s="72"/>
      <c r="H1" s="72"/>
      <c r="I1" s="13">
        <f ca="1">TODAY()</f>
        <v>46104</v>
      </c>
      <c r="J1" s="25"/>
    </row>
    <row r="2" spans="1:16" ht="27.75" customHeight="1" x14ac:dyDescent="0.2">
      <c r="A2" s="36" t="s">
        <v>18</v>
      </c>
      <c r="B2" s="36" t="s">
        <v>9</v>
      </c>
      <c r="C2" s="36" t="s">
        <v>10</v>
      </c>
      <c r="D2" s="51" t="s">
        <v>79</v>
      </c>
      <c r="E2" s="38"/>
      <c r="F2" s="40" t="s">
        <v>81</v>
      </c>
      <c r="G2" s="52" t="s">
        <v>80</v>
      </c>
      <c r="H2" s="36" t="s">
        <v>17</v>
      </c>
      <c r="I2" s="41" t="s">
        <v>12</v>
      </c>
    </row>
    <row r="3" spans="1:16" s="21" customFormat="1" x14ac:dyDescent="0.2">
      <c r="A3" s="33">
        <v>1</v>
      </c>
      <c r="B3" s="11" t="s">
        <v>295</v>
      </c>
      <c r="C3" s="11" t="s">
        <v>296</v>
      </c>
      <c r="D3" s="11" t="s">
        <v>29</v>
      </c>
      <c r="E3" s="12">
        <v>45838</v>
      </c>
      <c r="F3" s="9" t="s">
        <v>215</v>
      </c>
      <c r="G3" s="11" t="s">
        <v>352</v>
      </c>
      <c r="H3" s="8">
        <f ca="1">E3-'Sub23'!$K$1</f>
        <v>-266</v>
      </c>
      <c r="I3" s="11">
        <f ca="1">H3</f>
        <v>-266</v>
      </c>
      <c r="J3"/>
      <c r="L3"/>
      <c r="M3"/>
      <c r="N3"/>
      <c r="O3"/>
      <c r="P3"/>
    </row>
    <row r="4" spans="1:16" s="21" customFormat="1" x14ac:dyDescent="0.2">
      <c r="A4" s="33">
        <v>2</v>
      </c>
      <c r="B4" s="11" t="s">
        <v>95</v>
      </c>
      <c r="C4" s="11" t="s">
        <v>96</v>
      </c>
      <c r="D4" s="11" t="s">
        <v>29</v>
      </c>
      <c r="E4" s="12">
        <v>45838</v>
      </c>
      <c r="F4" s="9" t="s">
        <v>351</v>
      </c>
      <c r="G4" s="11" t="s">
        <v>352</v>
      </c>
      <c r="H4" s="8">
        <f ca="1">E4-$I$1</f>
        <v>-266</v>
      </c>
      <c r="I4" s="11">
        <f ca="1">H4</f>
        <v>-266</v>
      </c>
      <c r="J4" s="43" t="s">
        <v>146</v>
      </c>
      <c r="L4"/>
      <c r="M4"/>
      <c r="N4"/>
      <c r="O4"/>
      <c r="P4"/>
    </row>
    <row r="5" spans="1:16" s="21" customFormat="1" x14ac:dyDescent="0.2">
      <c r="A5" s="33">
        <v>3</v>
      </c>
      <c r="B5" s="11" t="s">
        <v>243</v>
      </c>
      <c r="C5" s="11" t="s">
        <v>244</v>
      </c>
      <c r="D5" s="11" t="s">
        <v>29</v>
      </c>
      <c r="E5" s="12">
        <v>45838</v>
      </c>
      <c r="F5" s="10" t="s">
        <v>354</v>
      </c>
      <c r="G5" s="11" t="s">
        <v>352</v>
      </c>
      <c r="H5" s="8">
        <f ca="1">E5-PD!$I$1</f>
        <v>-266</v>
      </c>
      <c r="I5" s="11">
        <f ca="1">H5</f>
        <v>-266</v>
      </c>
      <c r="J5" s="43" t="s">
        <v>146</v>
      </c>
      <c r="K5"/>
      <c r="L5"/>
    </row>
    <row r="6" spans="1:16" x14ac:dyDescent="0.2">
      <c r="A6" s="33">
        <v>4</v>
      </c>
      <c r="B6" s="11" t="s">
        <v>90</v>
      </c>
      <c r="C6" s="11" t="s">
        <v>91</v>
      </c>
      <c r="D6" s="11" t="s">
        <v>30</v>
      </c>
      <c r="E6" s="12">
        <v>46022</v>
      </c>
      <c r="F6" s="10" t="s">
        <v>354</v>
      </c>
      <c r="G6" s="11" t="s">
        <v>352</v>
      </c>
      <c r="H6" s="8">
        <f ca="1">E6-PD!$I$1</f>
        <v>-82</v>
      </c>
      <c r="I6" s="11">
        <f ca="1">H6</f>
        <v>-82</v>
      </c>
      <c r="J6" s="43"/>
    </row>
  </sheetData>
  <sheetProtection algorithmName="SHA-512" hashValue="nN/kwfQXdEVMFHiH82roF5e3dnK1kNHpKK0uh6w7PGdGD/cc89O3T8OM49D9ap8G1i7DjmXsJPq01ZyVl8cFGA==" saltValue="SiHkYBJhu3nbU3HZAsnEOQ==" spinCount="100000" sheet="1" sort="0" autoFilter="0"/>
  <sortState xmlns:xlrd2="http://schemas.microsoft.com/office/spreadsheetml/2017/richdata2" ref="B3:J4">
    <sortCondition ref="B3:B4"/>
  </sortState>
  <mergeCells count="1">
    <mergeCell ref="A1:H1"/>
  </mergeCells>
  <phoneticPr fontId="12" type="noConversion"/>
  <conditionalFormatting sqref="D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6">
    <cfRule type="containsText" dxfId="8" priority="1" operator="containsText" text="Clausura 2018">
      <formula>NOT(ISERROR(SEARCH("Clausura 2018",E3)))</formula>
    </cfRule>
  </conditionalFormatting>
  <conditionalFormatting sqref="G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4">
    <cfRule type="iconSet" priority="842">
      <iconSet iconSet="3Symbols" showValue="0">
        <cfvo type="percent" val="0"/>
        <cfvo type="num" val="365"/>
        <cfvo type="num" val="547"/>
      </iconSet>
    </cfRule>
  </conditionalFormatting>
  <conditionalFormatting sqref="H5">
    <cfRule type="iconSet" priority="5">
      <iconSet iconSet="3Symbols" showValue="0">
        <cfvo type="percent" val="0"/>
        <cfvo type="num" val="365"/>
        <cfvo type="num" val="547"/>
      </iconSet>
    </cfRule>
  </conditionalFormatting>
  <conditionalFormatting sqref="H6">
    <cfRule type="iconSet" priority="2">
      <iconSet iconSet="3Symbols" showValue="0">
        <cfvo type="percent" val="0"/>
        <cfvo type="num" val="365"/>
        <cfvo type="num" val="547"/>
      </iconSet>
    </cfRule>
  </conditionalFormatting>
  <conditionalFormatting sqref="I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34B2-331A-45F5-9404-64803BE0CDDB}">
  <sheetPr codeName="Hoja3"/>
  <dimension ref="A1:W24"/>
  <sheetViews>
    <sheetView showGridLines="0" zoomScale="80" zoomScaleNormal="80" workbookViewId="0">
      <pane ySplit="2" topLeftCell="A3" activePane="bottomLeft" state="frozen"/>
      <selection pane="bottomLeft" activeCell="R8" sqref="R8"/>
    </sheetView>
  </sheetViews>
  <sheetFormatPr baseColWidth="10" defaultRowHeight="17" x14ac:dyDescent="0.2"/>
  <cols>
    <col min="1" max="1" width="5.1640625" style="3" customWidth="1"/>
    <col min="2" max="3" width="16.1640625" customWidth="1"/>
    <col min="4" max="4" width="11.6640625" hidden="1" customWidth="1"/>
    <col min="5" max="5" width="11.83203125" customWidth="1"/>
    <col min="6" max="6" width="14.5" style="18" hidden="1" customWidth="1"/>
    <col min="7" max="7" width="13.83203125" customWidth="1"/>
    <col min="8" max="8" width="13.1640625" customWidth="1"/>
    <col min="9" max="9" width="12.5" bestFit="1" customWidth="1"/>
    <col min="10" max="10" width="10.6640625" style="7" customWidth="1"/>
    <col min="11" max="11" width="11.6640625" customWidth="1"/>
    <col min="12" max="12" width="6.6640625" style="48" hidden="1" customWidth="1"/>
    <col min="13" max="13" width="8.5" style="48" hidden="1" customWidth="1"/>
    <col min="14" max="14" width="3.1640625" style="48" hidden="1" customWidth="1"/>
    <col min="15" max="15" width="16.33203125" style="48" hidden="1" customWidth="1"/>
    <col min="16" max="16" width="7.1640625" style="48" hidden="1" customWidth="1"/>
    <col min="19" max="20" width="11.5" customWidth="1"/>
  </cols>
  <sheetData>
    <row r="1" spans="1:19" ht="68.25" customHeight="1" x14ac:dyDescent="0.2">
      <c r="A1" s="72" t="s">
        <v>353</v>
      </c>
      <c r="B1" s="72"/>
      <c r="C1" s="72"/>
      <c r="D1" s="72"/>
      <c r="E1" s="72"/>
      <c r="F1" s="72"/>
      <c r="G1" s="72"/>
      <c r="H1" s="72"/>
      <c r="I1" s="72"/>
      <c r="J1" s="72"/>
      <c r="K1" s="13">
        <f ca="1">TODAY()</f>
        <v>46104</v>
      </c>
    </row>
    <row r="2" spans="1:19" ht="26" x14ac:dyDescent="0.2">
      <c r="A2" s="31" t="s">
        <v>18</v>
      </c>
      <c r="B2" s="31" t="s">
        <v>9</v>
      </c>
      <c r="C2" s="31" t="s">
        <v>10</v>
      </c>
      <c r="D2" s="32" t="s">
        <v>85</v>
      </c>
      <c r="E2" s="32" t="s">
        <v>11</v>
      </c>
      <c r="F2" s="33"/>
      <c r="G2" s="34" t="s">
        <v>66</v>
      </c>
      <c r="H2" s="34" t="s">
        <v>84</v>
      </c>
      <c r="I2" s="34" t="s">
        <v>86</v>
      </c>
      <c r="J2" s="31" t="s">
        <v>17</v>
      </c>
      <c r="K2" s="35" t="s">
        <v>12</v>
      </c>
    </row>
    <row r="3" spans="1:19" s="24" customFormat="1" ht="17" customHeight="1" x14ac:dyDescent="0.15">
      <c r="A3" s="33">
        <v>1</v>
      </c>
      <c r="B3" s="11" t="s">
        <v>302</v>
      </c>
      <c r="C3" s="11" t="s">
        <v>303</v>
      </c>
      <c r="D3" s="11"/>
      <c r="E3" s="11" t="s">
        <v>27</v>
      </c>
      <c r="F3" s="12">
        <v>45473</v>
      </c>
      <c r="G3" s="22">
        <v>8000</v>
      </c>
      <c r="H3" s="17">
        <v>38274</v>
      </c>
      <c r="I3" s="11" t="str">
        <f t="shared" ref="I3:I24" ca="1" si="0">_xlfn.FLOOR.MATH(M3)&amp;" años "&amp;P3&amp;" meses"</f>
        <v>21 años 5 meses</v>
      </c>
      <c r="J3" s="8">
        <f ca="1">F3-'Sub18'!$K$1</f>
        <v>-631</v>
      </c>
      <c r="K3" s="11">
        <f t="shared" ref="K3:K24" ca="1" si="1">J3</f>
        <v>-631</v>
      </c>
      <c r="L3" s="48">
        <f ca="1">'Sub18'!$K$1-H3</f>
        <v>7830</v>
      </c>
      <c r="M3" s="48">
        <f t="shared" ref="M3:M16" ca="1" si="2">L3/365</f>
        <v>21.452054794520549</v>
      </c>
      <c r="N3" s="48">
        <f t="shared" ref="N3:N16" ca="1" si="3">_xlfn.FLOOR.MATH(M3)</f>
        <v>21</v>
      </c>
      <c r="O3" s="48">
        <f t="shared" ref="O3:O16" ca="1" si="4">L3-(N3*365)</f>
        <v>165</v>
      </c>
      <c r="P3" s="48">
        <f t="shared" ref="P3:P16" ca="1" si="5">_xlfn.FLOOR.MATH(O3/30)</f>
        <v>5</v>
      </c>
      <c r="Q3" s="43"/>
      <c r="R3" s="21"/>
      <c r="S3" s="21"/>
    </row>
    <row r="4" spans="1:19" ht="17.25" customHeight="1" x14ac:dyDescent="0.2">
      <c r="A4" s="33">
        <v>2</v>
      </c>
      <c r="B4" s="11" t="s">
        <v>147</v>
      </c>
      <c r="C4" s="11" t="s">
        <v>120</v>
      </c>
      <c r="D4" s="56"/>
      <c r="E4" s="11" t="s">
        <v>27</v>
      </c>
      <c r="F4" s="12">
        <v>45473</v>
      </c>
      <c r="G4" s="23">
        <v>8000</v>
      </c>
      <c r="H4" s="17">
        <v>37567</v>
      </c>
      <c r="I4" s="11" t="str">
        <f t="shared" ca="1" si="0"/>
        <v>23 años 4 meses</v>
      </c>
      <c r="J4" s="8">
        <f ca="1">F4-$K$1</f>
        <v>-631</v>
      </c>
      <c r="K4" s="11">
        <f t="shared" ca="1" si="1"/>
        <v>-631</v>
      </c>
      <c r="L4" s="49">
        <f ca="1">$K$1-H4</f>
        <v>8537</v>
      </c>
      <c r="M4" s="49">
        <f t="shared" ca="1" si="2"/>
        <v>23.389041095890413</v>
      </c>
      <c r="N4" s="49">
        <f t="shared" ca="1" si="3"/>
        <v>23</v>
      </c>
      <c r="O4" s="49">
        <f t="shared" ca="1" si="4"/>
        <v>142</v>
      </c>
      <c r="P4" s="49">
        <f t="shared" ca="1" si="5"/>
        <v>4</v>
      </c>
      <c r="Q4" s="43"/>
      <c r="S4" s="21"/>
    </row>
    <row r="5" spans="1:19" s="21" customFormat="1" x14ac:dyDescent="0.2">
      <c r="A5" s="33">
        <v>3</v>
      </c>
      <c r="B5" s="11" t="s">
        <v>134</v>
      </c>
      <c r="C5" s="11" t="s">
        <v>135</v>
      </c>
      <c r="D5" s="11"/>
      <c r="E5" s="11" t="s">
        <v>29</v>
      </c>
      <c r="F5" s="12">
        <v>45838</v>
      </c>
      <c r="G5" s="22">
        <v>8000</v>
      </c>
      <c r="H5" s="17">
        <v>37993</v>
      </c>
      <c r="I5" s="11" t="str">
        <f t="shared" ca="1" si="0"/>
        <v>22 años 2 meses</v>
      </c>
      <c r="J5" s="8">
        <f ca="1">F5-'Sub18'!$K$1</f>
        <v>-266</v>
      </c>
      <c r="K5" s="11">
        <f t="shared" ca="1" si="1"/>
        <v>-266</v>
      </c>
      <c r="L5" s="48">
        <f ca="1">'Sub18'!$K$1-H5</f>
        <v>8111</v>
      </c>
      <c r="M5" s="48">
        <f t="shared" ca="1" si="2"/>
        <v>22.221917808219178</v>
      </c>
      <c r="N5" s="48">
        <f t="shared" ca="1" si="3"/>
        <v>22</v>
      </c>
      <c r="O5" s="48">
        <f t="shared" ca="1" si="4"/>
        <v>81</v>
      </c>
      <c r="P5" s="48">
        <f t="shared" ca="1" si="5"/>
        <v>2</v>
      </c>
      <c r="Q5" s="43"/>
      <c r="R5"/>
    </row>
    <row r="6" spans="1:19" s="21" customFormat="1" x14ac:dyDescent="0.2">
      <c r="A6" s="33">
        <v>4</v>
      </c>
      <c r="B6" s="11" t="s">
        <v>113</v>
      </c>
      <c r="C6" s="11" t="s">
        <v>114</v>
      </c>
      <c r="D6" s="11"/>
      <c r="E6" s="11" t="s">
        <v>27</v>
      </c>
      <c r="F6" s="17">
        <v>45473</v>
      </c>
      <c r="G6" s="23">
        <v>10000</v>
      </c>
      <c r="H6" s="17">
        <v>37703</v>
      </c>
      <c r="I6" s="11" t="str">
        <f t="shared" ca="1" si="0"/>
        <v>23 años 0 meses</v>
      </c>
      <c r="J6" s="8">
        <f ca="1">F6-$K$1</f>
        <v>-631</v>
      </c>
      <c r="K6" s="11">
        <f t="shared" ca="1" si="1"/>
        <v>-631</v>
      </c>
      <c r="L6" s="49">
        <f ca="1">$K$1-H6</f>
        <v>8401</v>
      </c>
      <c r="M6" s="49">
        <f t="shared" ca="1" si="2"/>
        <v>23.016438356164382</v>
      </c>
      <c r="N6" s="48">
        <f t="shared" ca="1" si="3"/>
        <v>23</v>
      </c>
      <c r="O6" s="48">
        <f t="shared" ca="1" si="4"/>
        <v>6</v>
      </c>
      <c r="P6" s="49">
        <f t="shared" ca="1" si="5"/>
        <v>0</v>
      </c>
      <c r="Q6" s="43" t="s">
        <v>146</v>
      </c>
      <c r="R6"/>
    </row>
    <row r="7" spans="1:19" s="21" customFormat="1" ht="17" customHeight="1" x14ac:dyDescent="0.2">
      <c r="A7" s="33">
        <v>5</v>
      </c>
      <c r="B7" s="11" t="s">
        <v>171</v>
      </c>
      <c r="C7" s="11" t="s">
        <v>172</v>
      </c>
      <c r="D7" s="11"/>
      <c r="E7" s="11" t="s">
        <v>29</v>
      </c>
      <c r="F7" s="12">
        <v>45838</v>
      </c>
      <c r="G7" s="50">
        <v>8000</v>
      </c>
      <c r="H7" s="17">
        <v>37846</v>
      </c>
      <c r="I7" s="11" t="str">
        <f t="shared" ca="1" si="0"/>
        <v>22 años 7 meses</v>
      </c>
      <c r="J7" s="8">
        <f ca="1">F7-'Sub18'!$K$1</f>
        <v>-266</v>
      </c>
      <c r="K7" s="11">
        <f t="shared" ca="1" si="1"/>
        <v>-266</v>
      </c>
      <c r="L7" s="49">
        <f ca="1">'Sub18'!$K$1-H7</f>
        <v>8258</v>
      </c>
      <c r="M7" s="49">
        <f t="shared" ca="1" si="2"/>
        <v>22.624657534246577</v>
      </c>
      <c r="N7" s="49">
        <f t="shared" ca="1" si="3"/>
        <v>22</v>
      </c>
      <c r="O7" s="49">
        <f t="shared" ca="1" si="4"/>
        <v>228</v>
      </c>
      <c r="P7" s="49">
        <f t="shared" ca="1" si="5"/>
        <v>7</v>
      </c>
      <c r="Q7" s="43" t="s">
        <v>299</v>
      </c>
      <c r="R7"/>
      <c r="S7"/>
    </row>
    <row r="8" spans="1:19" x14ac:dyDescent="0.2">
      <c r="A8" s="33">
        <v>6</v>
      </c>
      <c r="B8" s="11" t="s">
        <v>104</v>
      </c>
      <c r="C8" s="11" t="s">
        <v>105</v>
      </c>
      <c r="D8" s="11"/>
      <c r="E8" s="11" t="s">
        <v>29</v>
      </c>
      <c r="F8" s="12">
        <v>45838</v>
      </c>
      <c r="G8" s="23">
        <v>10000</v>
      </c>
      <c r="H8" s="17">
        <v>37264</v>
      </c>
      <c r="I8" s="11" t="str">
        <f t="shared" ca="1" si="0"/>
        <v>24 años 2 meses</v>
      </c>
      <c r="J8" s="8">
        <f ca="1">F8-$K$1</f>
        <v>-266</v>
      </c>
      <c r="K8" s="2">
        <f t="shared" ca="1" si="1"/>
        <v>-266</v>
      </c>
      <c r="L8" s="48">
        <f ca="1">$K$1-H8</f>
        <v>8840</v>
      </c>
      <c r="M8" s="48">
        <f t="shared" ca="1" si="2"/>
        <v>24.219178082191782</v>
      </c>
      <c r="N8" s="48">
        <f t="shared" ca="1" si="3"/>
        <v>24</v>
      </c>
      <c r="O8" s="48">
        <f t="shared" ca="1" si="4"/>
        <v>80</v>
      </c>
      <c r="P8" s="48">
        <f t="shared" ca="1" si="5"/>
        <v>2</v>
      </c>
      <c r="Q8" s="43" t="s">
        <v>146</v>
      </c>
      <c r="R8" s="21"/>
      <c r="S8" s="21"/>
    </row>
    <row r="9" spans="1:19" x14ac:dyDescent="0.2">
      <c r="A9" s="33">
        <v>7</v>
      </c>
      <c r="B9" s="11" t="s">
        <v>312</v>
      </c>
      <c r="C9" s="11" t="s">
        <v>311</v>
      </c>
      <c r="D9" s="58"/>
      <c r="E9" s="11" t="s">
        <v>32</v>
      </c>
      <c r="F9" s="12">
        <v>46387</v>
      </c>
      <c r="G9" s="22">
        <v>8000</v>
      </c>
      <c r="H9" s="17">
        <v>37996</v>
      </c>
      <c r="I9" s="11" t="str">
        <f t="shared" si="0"/>
        <v>18 años 9 meses</v>
      </c>
      <c r="J9" s="8">
        <f>F9-[1]Sub18!$K$1</f>
        <v>1547</v>
      </c>
      <c r="K9" s="11">
        <f t="shared" si="1"/>
        <v>1547</v>
      </c>
      <c r="L9" s="49">
        <f>[1]Sub18!$K$1-H9</f>
        <v>6844</v>
      </c>
      <c r="M9" s="49">
        <f t="shared" si="2"/>
        <v>18.75068493150685</v>
      </c>
      <c r="N9" s="49">
        <f t="shared" si="3"/>
        <v>18</v>
      </c>
      <c r="O9" s="49">
        <f t="shared" si="4"/>
        <v>274</v>
      </c>
      <c r="P9" s="49">
        <f t="shared" si="5"/>
        <v>9</v>
      </c>
      <c r="Q9" s="43" t="s">
        <v>146</v>
      </c>
      <c r="R9" s="21"/>
      <c r="S9" s="21"/>
    </row>
    <row r="10" spans="1:19" x14ac:dyDescent="0.2">
      <c r="A10" s="33">
        <v>8</v>
      </c>
      <c r="B10" s="11" t="s">
        <v>136</v>
      </c>
      <c r="C10" s="11" t="s">
        <v>137</v>
      </c>
      <c r="D10" s="11"/>
      <c r="E10" s="11" t="s">
        <v>27</v>
      </c>
      <c r="F10" s="12">
        <v>45473</v>
      </c>
      <c r="G10" s="22">
        <v>8000</v>
      </c>
      <c r="H10" s="17">
        <v>38058</v>
      </c>
      <c r="I10" s="11" t="str">
        <f t="shared" ca="1" si="0"/>
        <v>22 años 0 meses</v>
      </c>
      <c r="J10" s="8">
        <f ca="1">F10-'Sub18'!$K$1</f>
        <v>-631</v>
      </c>
      <c r="K10" s="11">
        <f t="shared" ca="1" si="1"/>
        <v>-631</v>
      </c>
      <c r="L10" s="49">
        <f ca="1">'Sub18'!$K$1-H10</f>
        <v>8046</v>
      </c>
      <c r="M10" s="49">
        <f t="shared" ca="1" si="2"/>
        <v>22.043835616438358</v>
      </c>
      <c r="N10" s="49">
        <f t="shared" ca="1" si="3"/>
        <v>22</v>
      </c>
      <c r="O10" s="49">
        <f t="shared" ca="1" si="4"/>
        <v>16</v>
      </c>
      <c r="P10" s="49">
        <f t="shared" ca="1" si="5"/>
        <v>0</v>
      </c>
      <c r="Q10" s="43"/>
      <c r="R10" s="21"/>
    </row>
    <row r="11" spans="1:19" s="21" customFormat="1" ht="17" customHeight="1" x14ac:dyDescent="0.15">
      <c r="A11" s="33">
        <v>9</v>
      </c>
      <c r="B11" s="11" t="s">
        <v>97</v>
      </c>
      <c r="C11" s="11" t="s">
        <v>98</v>
      </c>
      <c r="D11" s="11"/>
      <c r="E11" s="12" t="s">
        <v>29</v>
      </c>
      <c r="F11" s="12">
        <v>45838</v>
      </c>
      <c r="G11" s="23">
        <v>18666</v>
      </c>
      <c r="H11" s="17">
        <v>36909</v>
      </c>
      <c r="I11" s="11" t="str">
        <f t="shared" ca="1" si="0"/>
        <v>25 años 2 meses</v>
      </c>
      <c r="J11" s="8">
        <f ca="1">F11-$K$1</f>
        <v>-266</v>
      </c>
      <c r="K11" s="11">
        <f t="shared" ca="1" si="1"/>
        <v>-266</v>
      </c>
      <c r="L11" s="49">
        <f ca="1">$K$1-H11</f>
        <v>9195</v>
      </c>
      <c r="M11" s="49">
        <f t="shared" ca="1" si="2"/>
        <v>25.19178082191781</v>
      </c>
      <c r="N11" s="48">
        <f t="shared" ca="1" si="3"/>
        <v>25</v>
      </c>
      <c r="O11" s="48">
        <f t="shared" ca="1" si="4"/>
        <v>70</v>
      </c>
      <c r="P11" s="49">
        <f t="shared" ca="1" si="5"/>
        <v>2</v>
      </c>
      <c r="Q11" s="43" t="s">
        <v>146</v>
      </c>
    </row>
    <row r="12" spans="1:19" ht="17.25" customHeight="1" x14ac:dyDescent="0.2">
      <c r="A12" s="33">
        <v>10</v>
      </c>
      <c r="B12" s="11" t="s">
        <v>498</v>
      </c>
      <c r="C12" s="11" t="s">
        <v>499</v>
      </c>
      <c r="D12" s="11"/>
      <c r="E12" s="11" t="s">
        <v>28</v>
      </c>
      <c r="F12" s="12">
        <v>45657</v>
      </c>
      <c r="G12" s="22">
        <v>9000</v>
      </c>
      <c r="H12" s="17">
        <v>37750</v>
      </c>
      <c r="I12" s="11" t="str">
        <f t="shared" si="0"/>
        <v>20 años 9 meses</v>
      </c>
      <c r="J12" s="8">
        <f>F12-[2]Sub18!$K$1</f>
        <v>308</v>
      </c>
      <c r="K12" s="11">
        <f t="shared" si="1"/>
        <v>308</v>
      </c>
      <c r="L12" s="48">
        <f>[2]Sub18!$K$1-H12</f>
        <v>7599</v>
      </c>
      <c r="M12" s="48">
        <f t="shared" si="2"/>
        <v>20.81917808219178</v>
      </c>
      <c r="N12" s="48">
        <f t="shared" si="3"/>
        <v>20</v>
      </c>
      <c r="O12" s="48">
        <f t="shared" si="4"/>
        <v>299</v>
      </c>
      <c r="P12" s="48">
        <f t="shared" si="5"/>
        <v>9</v>
      </c>
      <c r="Q12" s="43" t="s">
        <v>322</v>
      </c>
      <c r="S12" s="21"/>
    </row>
    <row r="13" spans="1:19" s="21" customFormat="1" ht="17" customHeight="1" x14ac:dyDescent="0.2">
      <c r="A13" s="33">
        <v>11</v>
      </c>
      <c r="B13" s="11" t="s">
        <v>115</v>
      </c>
      <c r="C13" s="11" t="s">
        <v>116</v>
      </c>
      <c r="D13" s="11"/>
      <c r="E13" s="11" t="s">
        <v>29</v>
      </c>
      <c r="F13" s="12">
        <v>45838</v>
      </c>
      <c r="G13" s="22">
        <v>9000</v>
      </c>
      <c r="H13" s="17">
        <v>37672</v>
      </c>
      <c r="I13" s="11" t="str">
        <f t="shared" ca="1" si="0"/>
        <v>23 años 1 meses</v>
      </c>
      <c r="J13" s="8">
        <f ca="1">F13-'Sub18'!$K$1</f>
        <v>-266</v>
      </c>
      <c r="K13" s="11">
        <f t="shared" ca="1" si="1"/>
        <v>-266</v>
      </c>
      <c r="L13" s="49">
        <f ca="1">'Sub18'!$K$1-H13</f>
        <v>8432</v>
      </c>
      <c r="M13" s="49">
        <f t="shared" ca="1" si="2"/>
        <v>23.101369863013698</v>
      </c>
      <c r="N13" s="49">
        <f t="shared" ca="1" si="3"/>
        <v>23</v>
      </c>
      <c r="O13" s="49">
        <f t="shared" ca="1" si="4"/>
        <v>37</v>
      </c>
      <c r="P13" s="49">
        <f t="shared" ca="1" si="5"/>
        <v>1</v>
      </c>
      <c r="Q13" s="43" t="s">
        <v>322</v>
      </c>
      <c r="R13"/>
      <c r="S13"/>
    </row>
    <row r="14" spans="1:19" x14ac:dyDescent="0.2">
      <c r="A14" s="33">
        <v>12</v>
      </c>
      <c r="B14" s="11" t="s">
        <v>169</v>
      </c>
      <c r="C14" s="11" t="s">
        <v>170</v>
      </c>
      <c r="D14" s="11"/>
      <c r="E14" s="11" t="s">
        <v>27</v>
      </c>
      <c r="F14" s="12">
        <v>45473</v>
      </c>
      <c r="G14" s="22">
        <v>8000</v>
      </c>
      <c r="H14" s="17">
        <v>38109</v>
      </c>
      <c r="I14" s="11" t="str">
        <f t="shared" ca="1" si="0"/>
        <v>21 años 11 meses</v>
      </c>
      <c r="J14" s="8">
        <f ca="1">F14-'Sub18'!$K$1</f>
        <v>-631</v>
      </c>
      <c r="K14" s="11">
        <f t="shared" ca="1" si="1"/>
        <v>-631</v>
      </c>
      <c r="L14" s="49">
        <f ca="1">'Sub18'!$K$1-H14</f>
        <v>7995</v>
      </c>
      <c r="M14" s="49">
        <f t="shared" ca="1" si="2"/>
        <v>21.904109589041095</v>
      </c>
      <c r="N14" s="49">
        <f t="shared" ca="1" si="3"/>
        <v>21</v>
      </c>
      <c r="O14" s="49">
        <f t="shared" ca="1" si="4"/>
        <v>330</v>
      </c>
      <c r="P14" s="49">
        <f t="shared" ca="1" si="5"/>
        <v>11</v>
      </c>
      <c r="Q14" s="43"/>
      <c r="R14" s="21"/>
    </row>
    <row r="15" spans="1:19" x14ac:dyDescent="0.2">
      <c r="A15" s="33">
        <v>13</v>
      </c>
      <c r="B15" s="11" t="s">
        <v>140</v>
      </c>
      <c r="C15" s="11" t="s">
        <v>141</v>
      </c>
      <c r="D15" s="11"/>
      <c r="E15" s="11" t="s">
        <v>30</v>
      </c>
      <c r="F15" s="12">
        <v>46022</v>
      </c>
      <c r="G15" s="22">
        <v>9000</v>
      </c>
      <c r="H15" s="17">
        <v>37987</v>
      </c>
      <c r="I15" s="11" t="str">
        <f t="shared" ca="1" si="0"/>
        <v>22 años 2 meses</v>
      </c>
      <c r="J15" s="8">
        <f ca="1">F15-'Sub18'!$K$1</f>
        <v>-82</v>
      </c>
      <c r="K15" s="11">
        <f t="shared" ca="1" si="1"/>
        <v>-82</v>
      </c>
      <c r="L15" s="48">
        <f ca="1">'Sub18'!$K$1-H15</f>
        <v>8117</v>
      </c>
      <c r="M15" s="48">
        <f t="shared" ca="1" si="2"/>
        <v>22.238356164383561</v>
      </c>
      <c r="N15" s="48">
        <f t="shared" ca="1" si="3"/>
        <v>22</v>
      </c>
      <c r="O15" s="48">
        <f t="shared" ca="1" si="4"/>
        <v>87</v>
      </c>
      <c r="P15" s="48">
        <f t="shared" ca="1" si="5"/>
        <v>2</v>
      </c>
      <c r="Q15" s="43" t="s">
        <v>146</v>
      </c>
    </row>
    <row r="16" spans="1:19" x14ac:dyDescent="0.2">
      <c r="A16" s="33">
        <v>14</v>
      </c>
      <c r="B16" s="11" t="s">
        <v>101</v>
      </c>
      <c r="C16" s="11" t="s">
        <v>102</v>
      </c>
      <c r="D16" s="11"/>
      <c r="E16" s="11" t="s">
        <v>29</v>
      </c>
      <c r="F16" s="12">
        <v>45838</v>
      </c>
      <c r="G16" s="22">
        <v>11500</v>
      </c>
      <c r="H16" s="17">
        <v>37752</v>
      </c>
      <c r="I16" s="11" t="str">
        <f t="shared" ca="1" si="0"/>
        <v>22 años 10 meses</v>
      </c>
      <c r="J16" s="8">
        <f ca="1">F16-'Sub18'!$K$1</f>
        <v>-266</v>
      </c>
      <c r="K16" s="11">
        <f t="shared" ca="1" si="1"/>
        <v>-266</v>
      </c>
      <c r="L16" s="49">
        <f ca="1">'Sub18'!$K$1-H16</f>
        <v>8352</v>
      </c>
      <c r="M16" s="49">
        <f t="shared" ca="1" si="2"/>
        <v>22.882191780821916</v>
      </c>
      <c r="N16" s="49">
        <f t="shared" ca="1" si="3"/>
        <v>22</v>
      </c>
      <c r="O16" s="49">
        <f t="shared" ca="1" si="4"/>
        <v>322</v>
      </c>
      <c r="P16" s="49">
        <f t="shared" ca="1" si="5"/>
        <v>10</v>
      </c>
      <c r="Q16" s="43" t="s">
        <v>502</v>
      </c>
    </row>
    <row r="17" spans="1:23" x14ac:dyDescent="0.2">
      <c r="A17" s="33">
        <v>15</v>
      </c>
      <c r="B17" s="11" t="s">
        <v>355</v>
      </c>
      <c r="C17" s="11" t="s">
        <v>356</v>
      </c>
      <c r="D17" s="11"/>
      <c r="E17" s="11" t="s">
        <v>27</v>
      </c>
      <c r="F17" s="12">
        <v>45473</v>
      </c>
      <c r="G17" s="23">
        <v>8000</v>
      </c>
      <c r="H17" s="17">
        <v>37769</v>
      </c>
      <c r="I17" s="11" t="str">
        <f t="shared" si="0"/>
        <v>0 años  meses</v>
      </c>
      <c r="J17" s="8">
        <f ca="1">F17-'Sub18'!$K$1</f>
        <v>-631</v>
      </c>
      <c r="K17" s="11">
        <f t="shared" ca="1" si="1"/>
        <v>-631</v>
      </c>
      <c r="L17" s="49"/>
      <c r="M17" s="49"/>
      <c r="N17" s="49"/>
      <c r="O17" s="49"/>
      <c r="P17" s="49"/>
      <c r="Q17" s="43"/>
      <c r="R17" s="21"/>
      <c r="S17" s="21"/>
      <c r="T17" s="21"/>
      <c r="U17" s="21"/>
      <c r="V17" s="21"/>
      <c r="W17" s="21"/>
    </row>
    <row r="18" spans="1:23" s="21" customFormat="1" x14ac:dyDescent="0.2">
      <c r="A18" s="33">
        <v>16</v>
      </c>
      <c r="B18" s="11" t="s">
        <v>107</v>
      </c>
      <c r="C18" s="11" t="s">
        <v>106</v>
      </c>
      <c r="D18" s="11"/>
      <c r="E18" s="12" t="s">
        <v>27</v>
      </c>
      <c r="F18" s="12">
        <v>45473</v>
      </c>
      <c r="G18" s="23">
        <v>15000</v>
      </c>
      <c r="H18" s="17">
        <v>37408</v>
      </c>
      <c r="I18" s="11" t="str">
        <f t="shared" ca="1" si="0"/>
        <v>23 años 10 meses</v>
      </c>
      <c r="J18" s="8">
        <f ca="1">F18-$K$1</f>
        <v>-631</v>
      </c>
      <c r="K18" s="11">
        <f t="shared" ca="1" si="1"/>
        <v>-631</v>
      </c>
      <c r="L18" s="48">
        <f ca="1">'Sub18'!$K$1-H18</f>
        <v>8696</v>
      </c>
      <c r="M18" s="48">
        <f t="shared" ref="M18:M24" ca="1" si="6">L18/365</f>
        <v>23.824657534246576</v>
      </c>
      <c r="N18" s="48">
        <f t="shared" ref="N18:N24" ca="1" si="7">_xlfn.FLOOR.MATH(M18)</f>
        <v>23</v>
      </c>
      <c r="O18" s="48">
        <f t="shared" ref="O18:O24" ca="1" si="8">L18-(N18*365)</f>
        <v>301</v>
      </c>
      <c r="P18" s="48">
        <f t="shared" ref="P18:P24" ca="1" si="9">_xlfn.FLOOR.MATH(O18/30)</f>
        <v>10</v>
      </c>
      <c r="Q18" s="43" t="s">
        <v>146</v>
      </c>
      <c r="R18"/>
      <c r="S18"/>
    </row>
    <row r="19" spans="1:23" x14ac:dyDescent="0.2">
      <c r="A19" s="33">
        <v>17</v>
      </c>
      <c r="B19" s="11" t="s">
        <v>108</v>
      </c>
      <c r="C19" s="11" t="s">
        <v>109</v>
      </c>
      <c r="D19" s="11"/>
      <c r="E19" s="11" t="s">
        <v>29</v>
      </c>
      <c r="F19" s="12">
        <v>45838</v>
      </c>
      <c r="G19" s="23">
        <v>15000</v>
      </c>
      <c r="H19" s="17">
        <v>37541</v>
      </c>
      <c r="I19" s="11" t="str">
        <f t="shared" ca="1" si="0"/>
        <v>23 años 5 meses</v>
      </c>
      <c r="J19" s="8">
        <f ca="1">F19-$K$1</f>
        <v>-266</v>
      </c>
      <c r="K19" s="11">
        <f t="shared" ca="1" si="1"/>
        <v>-266</v>
      </c>
      <c r="L19" s="48">
        <f ca="1">'Sub18'!$K$1-H19</f>
        <v>8563</v>
      </c>
      <c r="M19" s="48">
        <f t="shared" ca="1" si="6"/>
        <v>23.460273972602739</v>
      </c>
      <c r="N19" s="48">
        <f t="shared" ca="1" si="7"/>
        <v>23</v>
      </c>
      <c r="O19" s="48">
        <f t="shared" ca="1" si="8"/>
        <v>168</v>
      </c>
      <c r="P19" s="48">
        <f t="shared" ca="1" si="9"/>
        <v>5</v>
      </c>
      <c r="Q19" s="43" t="s">
        <v>146</v>
      </c>
    </row>
    <row r="20" spans="1:23" x14ac:dyDescent="0.2">
      <c r="A20" s="33">
        <v>18</v>
      </c>
      <c r="B20" s="11" t="s">
        <v>110</v>
      </c>
      <c r="C20" s="11" t="s">
        <v>111</v>
      </c>
      <c r="D20" s="11"/>
      <c r="E20" s="11" t="s">
        <v>29</v>
      </c>
      <c r="F20" s="12">
        <v>45838</v>
      </c>
      <c r="G20" s="22">
        <v>9000</v>
      </c>
      <c r="H20" s="17">
        <v>37955</v>
      </c>
      <c r="I20" s="11" t="str">
        <f t="shared" ca="1" si="0"/>
        <v>22 años 3 meses</v>
      </c>
      <c r="J20" s="8">
        <f ca="1">F20-'Sub18'!$K$1</f>
        <v>-266</v>
      </c>
      <c r="K20" s="11">
        <f t="shared" ca="1" si="1"/>
        <v>-266</v>
      </c>
      <c r="L20" s="49">
        <f ca="1">'Sub18'!$K$1-H20</f>
        <v>8149</v>
      </c>
      <c r="M20" s="49">
        <f t="shared" ca="1" si="6"/>
        <v>22.326027397260273</v>
      </c>
      <c r="N20" s="49">
        <f t="shared" ca="1" si="7"/>
        <v>22</v>
      </c>
      <c r="O20" s="49">
        <f t="shared" ca="1" si="8"/>
        <v>119</v>
      </c>
      <c r="P20" s="49">
        <f t="shared" ca="1" si="9"/>
        <v>3</v>
      </c>
      <c r="Q20" s="43" t="s">
        <v>322</v>
      </c>
    </row>
    <row r="21" spans="1:23" x14ac:dyDescent="0.2">
      <c r="A21" s="33">
        <v>19</v>
      </c>
      <c r="B21" s="11" t="s">
        <v>500</v>
      </c>
      <c r="C21" s="11" t="s">
        <v>501</v>
      </c>
      <c r="D21" s="11"/>
      <c r="E21" s="11" t="s">
        <v>29</v>
      </c>
      <c r="F21" s="12">
        <v>45838</v>
      </c>
      <c r="G21" s="22">
        <v>8000</v>
      </c>
      <c r="H21" s="17">
        <v>38054</v>
      </c>
      <c r="I21" s="11" t="str">
        <f t="shared" si="0"/>
        <v>19 años 12 meses</v>
      </c>
      <c r="J21" s="8">
        <f>F21-[2]Sub16!$K$1</f>
        <v>489</v>
      </c>
      <c r="K21" s="11">
        <f t="shared" si="1"/>
        <v>489</v>
      </c>
      <c r="L21">
        <f>[2]Sub16!$K$1-H21</f>
        <v>7295</v>
      </c>
      <c r="M21">
        <f t="shared" si="6"/>
        <v>19.986301369863014</v>
      </c>
      <c r="N21">
        <f t="shared" si="7"/>
        <v>19</v>
      </c>
      <c r="O21">
        <f t="shared" si="8"/>
        <v>360</v>
      </c>
      <c r="P21">
        <f t="shared" si="9"/>
        <v>12</v>
      </c>
      <c r="Q21" s="44"/>
    </row>
    <row r="22" spans="1:23" x14ac:dyDescent="0.2">
      <c r="A22" s="33">
        <v>20</v>
      </c>
      <c r="B22" s="11" t="s">
        <v>241</v>
      </c>
      <c r="C22" s="11" t="s">
        <v>242</v>
      </c>
      <c r="D22" s="11"/>
      <c r="E22" s="11" t="s">
        <v>29</v>
      </c>
      <c r="F22" s="12">
        <v>45838</v>
      </c>
      <c r="G22" s="23">
        <v>8000</v>
      </c>
      <c r="H22" s="17">
        <v>37910</v>
      </c>
      <c r="I22" s="11" t="str">
        <f t="shared" ca="1" si="0"/>
        <v>22 años 5 meses</v>
      </c>
      <c r="J22" s="8">
        <f ca="1">F22-$K$1</f>
        <v>-266</v>
      </c>
      <c r="K22" s="11">
        <f t="shared" ca="1" si="1"/>
        <v>-266</v>
      </c>
      <c r="L22" s="49">
        <f ca="1">$K$1-H22</f>
        <v>8194</v>
      </c>
      <c r="M22" s="49">
        <f t="shared" ca="1" si="6"/>
        <v>22.449315068493149</v>
      </c>
      <c r="N22" s="48">
        <f t="shared" ca="1" si="7"/>
        <v>22</v>
      </c>
      <c r="O22" s="48">
        <f t="shared" ca="1" si="8"/>
        <v>164</v>
      </c>
      <c r="P22" s="49">
        <f t="shared" ca="1" si="9"/>
        <v>5</v>
      </c>
      <c r="Q22" s="43"/>
    </row>
    <row r="23" spans="1:23" x14ac:dyDescent="0.2">
      <c r="A23" s="33">
        <v>21</v>
      </c>
      <c r="B23" s="11" t="s">
        <v>142</v>
      </c>
      <c r="C23" s="11" t="s">
        <v>143</v>
      </c>
      <c r="D23" s="11"/>
      <c r="E23" s="11" t="s">
        <v>32</v>
      </c>
      <c r="F23" s="12">
        <v>46387</v>
      </c>
      <c r="G23" s="22">
        <v>9833.33</v>
      </c>
      <c r="H23" s="17">
        <v>38028</v>
      </c>
      <c r="I23" s="11" t="str">
        <f t="shared" ca="1" si="0"/>
        <v>22 años 1 meses</v>
      </c>
      <c r="J23" s="8">
        <f ca="1">F23-'Sub18'!$K$1</f>
        <v>283</v>
      </c>
      <c r="K23" s="11">
        <f t="shared" ca="1" si="1"/>
        <v>283</v>
      </c>
      <c r="L23" s="49">
        <f ca="1">'Sub18'!$K$1-H23</f>
        <v>8076</v>
      </c>
      <c r="M23" s="49">
        <f t="shared" ca="1" si="6"/>
        <v>22.126027397260273</v>
      </c>
      <c r="N23" s="49">
        <f t="shared" ca="1" si="7"/>
        <v>22</v>
      </c>
      <c r="O23" s="49">
        <f t="shared" ca="1" si="8"/>
        <v>46</v>
      </c>
      <c r="P23" s="49">
        <f t="shared" ca="1" si="9"/>
        <v>1</v>
      </c>
      <c r="Q23" s="43" t="s">
        <v>446</v>
      </c>
    </row>
    <row r="24" spans="1:23" x14ac:dyDescent="0.2">
      <c r="A24" s="33">
        <v>22</v>
      </c>
      <c r="B24" s="11" t="s">
        <v>230</v>
      </c>
      <c r="C24" s="11" t="s">
        <v>231</v>
      </c>
      <c r="D24" s="11"/>
      <c r="E24" s="11" t="s">
        <v>30</v>
      </c>
      <c r="F24" s="12">
        <v>46022</v>
      </c>
      <c r="G24" s="22">
        <v>8000</v>
      </c>
      <c r="H24" s="17">
        <v>38209</v>
      </c>
      <c r="I24" s="11" t="str">
        <f t="shared" ca="1" si="0"/>
        <v>21 años 7 meses</v>
      </c>
      <c r="J24" s="8">
        <f ca="1">F24-'Sub18'!$K$1</f>
        <v>-82</v>
      </c>
      <c r="K24" s="11">
        <f t="shared" ca="1" si="1"/>
        <v>-82</v>
      </c>
      <c r="L24" s="49">
        <f ca="1">'Sub18'!$K$1-H24</f>
        <v>7895</v>
      </c>
      <c r="M24" s="49">
        <f t="shared" ca="1" si="6"/>
        <v>21.63013698630137</v>
      </c>
      <c r="N24" s="49">
        <f t="shared" ca="1" si="7"/>
        <v>21</v>
      </c>
      <c r="O24" s="49">
        <f t="shared" ca="1" si="8"/>
        <v>230</v>
      </c>
      <c r="P24" s="49">
        <f t="shared" ca="1" si="9"/>
        <v>7</v>
      </c>
      <c r="Q24" s="43" t="s">
        <v>146</v>
      </c>
    </row>
  </sheetData>
  <sheetProtection algorithmName="SHA-512" hashValue="sU+glloYk2o6bduKVN8glvACJdygWeJ4jqxl8IcTSCEnf+wWNSFV0rmBNwnvnlUaYHtn1nhAXjPlOsQpY07IsQ==" saltValue="1c6YK3XzeTJzbZcdFX+G8w==" spinCount="100000" sheet="1" sort="0" autoFilter="0"/>
  <sortState xmlns:xlrd2="http://schemas.microsoft.com/office/spreadsheetml/2017/richdata2" ref="A3:Q24">
    <sortCondition ref="C3:C24"/>
  </sortState>
  <mergeCells count="1">
    <mergeCell ref="A1:J1"/>
  </mergeCells>
  <phoneticPr fontId="12" type="noConversion"/>
  <conditionalFormatting sqref="E2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5 E9">
    <cfRule type="containsText" dxfId="7" priority="52" operator="containsText" text="Clausura 2018">
      <formula>NOT(ISERROR(SEARCH("Clausura 2018",E4)))</formula>
    </cfRule>
  </conditionalFormatting>
  <conditionalFormatting sqref="F7:F25">
    <cfRule type="containsText" dxfId="6" priority="1" operator="containsText" text="Clausura 2018">
      <formula>NOT(ISERROR(SEARCH("Clausura 2018",F7)))</formula>
    </cfRule>
  </conditionalFormatting>
  <conditionalFormatting sqref="G2:I2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4">
    <cfRule type="iconSet" priority="849">
      <iconSet iconSet="3Symbols" showValue="0">
        <cfvo type="percent" val="0"/>
        <cfvo type="num" val="365"/>
        <cfvo type="num" val="547"/>
      </iconSet>
    </cfRule>
  </conditionalFormatting>
  <conditionalFormatting sqref="J5">
    <cfRule type="iconSet" priority="10">
      <iconSet iconSet="3Symbols" showValue="0">
        <cfvo type="percent" val="0"/>
        <cfvo type="num" val="365"/>
        <cfvo type="num" val="547"/>
      </iconSet>
    </cfRule>
  </conditionalFormatting>
  <conditionalFormatting sqref="J6 J8:J9">
    <cfRule type="iconSet" priority="822">
      <iconSet iconSet="3Symbols" showValue="0">
        <cfvo type="percent" val="0"/>
        <cfvo type="num" val="365"/>
        <cfvo type="num" val="547"/>
      </iconSet>
    </cfRule>
  </conditionalFormatting>
  <conditionalFormatting sqref="J7">
    <cfRule type="iconSet" priority="28">
      <iconSet iconSet="3Symbols" showValue="0">
        <cfvo type="percent" val="0"/>
        <cfvo type="num" val="365"/>
        <cfvo type="num" val="547"/>
      </iconSet>
    </cfRule>
  </conditionalFormatting>
  <conditionalFormatting sqref="J10">
    <cfRule type="iconSet" priority="6">
      <iconSet iconSet="3Symbols" showValue="0">
        <cfvo type="percent" val="0"/>
        <cfvo type="num" val="365"/>
        <cfvo type="num" val="547"/>
      </iconSet>
    </cfRule>
  </conditionalFormatting>
  <conditionalFormatting sqref="J11">
    <cfRule type="iconSet" priority="392">
      <iconSet iconSet="3Symbols" showValue="0">
        <cfvo type="percent" val="0"/>
        <cfvo type="num" val="365"/>
        <cfvo type="num" val="547"/>
      </iconSet>
    </cfRule>
  </conditionalFormatting>
  <conditionalFormatting sqref="J12">
    <cfRule type="iconSet" priority="4">
      <iconSet iconSet="3Symbols" showValue="0">
        <cfvo type="percent" val="0"/>
        <cfvo type="num" val="365"/>
        <cfvo type="num" val="547"/>
      </iconSet>
    </cfRule>
  </conditionalFormatting>
  <conditionalFormatting sqref="J13">
    <cfRule type="iconSet" priority="56">
      <iconSet iconSet="3Symbols" showValue="0">
        <cfvo type="percent" val="0"/>
        <cfvo type="num" val="365"/>
        <cfvo type="num" val="547"/>
      </iconSet>
    </cfRule>
  </conditionalFormatting>
  <conditionalFormatting sqref="J14 J16">
    <cfRule type="iconSet" priority="852">
      <iconSet iconSet="3Symbols" showValue="0">
        <cfvo type="percent" val="0"/>
        <cfvo type="num" val="365"/>
        <cfvo type="num" val="547"/>
      </iconSet>
    </cfRule>
  </conditionalFormatting>
  <conditionalFormatting sqref="J15">
    <cfRule type="iconSet" priority="26">
      <iconSet iconSet="3Symbols" showValue="0">
        <cfvo type="percent" val="0"/>
        <cfvo type="num" val="365"/>
        <cfvo type="num" val="547"/>
      </iconSet>
    </cfRule>
  </conditionalFormatting>
  <conditionalFormatting sqref="J17">
    <cfRule type="iconSet" priority="42">
      <iconSet iconSet="3Symbols" showValue="0">
        <cfvo type="percent" val="0"/>
        <cfvo type="num" val="365"/>
        <cfvo type="num" val="547"/>
      </iconSet>
    </cfRule>
  </conditionalFormatting>
  <conditionalFormatting sqref="J18">
    <cfRule type="iconSet" priority="40">
      <iconSet iconSet="3Symbols" showValue="0">
        <cfvo type="percent" val="0"/>
        <cfvo type="num" val="365"/>
        <cfvo type="num" val="547"/>
      </iconSet>
    </cfRule>
  </conditionalFormatting>
  <conditionalFormatting sqref="J19">
    <cfRule type="iconSet" priority="16">
      <iconSet iconSet="3Symbols" showValue="0">
        <cfvo type="percent" val="0"/>
        <cfvo type="num" val="365"/>
        <cfvo type="num" val="547"/>
      </iconSet>
    </cfRule>
  </conditionalFormatting>
  <conditionalFormatting sqref="J20">
    <cfRule type="iconSet" priority="38">
      <iconSet iconSet="3Symbols" showValue="0">
        <cfvo type="percent" val="0"/>
        <cfvo type="num" val="365"/>
        <cfvo type="num" val="547"/>
      </iconSet>
    </cfRule>
  </conditionalFormatting>
  <conditionalFormatting sqref="J21">
    <cfRule type="iconSet" priority="2">
      <iconSet iconSet="3Symbols" showValue="0">
        <cfvo type="percent" val="0"/>
        <cfvo type="num" val="365"/>
        <cfvo type="num" val="547"/>
      </iconSet>
    </cfRule>
  </conditionalFormatting>
  <conditionalFormatting sqref="J22">
    <cfRule type="iconSet" priority="18">
      <iconSet iconSet="3Symbols" showValue="0">
        <cfvo type="percent" val="0"/>
        <cfvo type="num" val="365"/>
        <cfvo type="num" val="547"/>
      </iconSet>
    </cfRule>
  </conditionalFormatting>
  <conditionalFormatting sqref="J23">
    <cfRule type="iconSet" priority="34">
      <iconSet iconSet="3Symbols" showValue="0">
        <cfvo type="percent" val="0"/>
        <cfvo type="num" val="365"/>
        <cfvo type="num" val="547"/>
      </iconSet>
    </cfRule>
  </conditionalFormatting>
  <conditionalFormatting sqref="J24">
    <cfRule type="iconSet" priority="24">
      <iconSet iconSet="3Symbols" showValue="0">
        <cfvo type="percent" val="0"/>
        <cfvo type="num" val="365"/>
        <cfvo type="num" val="547"/>
      </iconSet>
    </cfRule>
  </conditionalFormatting>
  <conditionalFormatting sqref="J25">
    <cfRule type="iconSet" priority="29">
      <iconSet iconSet="3Symbols" showValue="0">
        <cfvo type="percent" val="0"/>
        <cfvo type="num" val="365"/>
        <cfvo type="num" val="547"/>
      </iconSet>
    </cfRule>
  </conditionalFormatting>
  <conditionalFormatting sqref="K2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61B3-4092-49B0-819B-6205FAD432FD}">
  <sheetPr codeName="Hoja4"/>
  <dimension ref="A1:R31"/>
  <sheetViews>
    <sheetView showGridLines="0" tabSelected="1" zoomScale="85" zoomScaleNormal="85" workbookViewId="0">
      <pane ySplit="2" topLeftCell="A3" activePane="bottomLeft" state="frozen"/>
      <selection pane="bottomLeft" activeCell="G6" sqref="G6"/>
    </sheetView>
  </sheetViews>
  <sheetFormatPr baseColWidth="10" defaultRowHeight="17" x14ac:dyDescent="0.2"/>
  <cols>
    <col min="1" max="1" width="5.1640625" style="3" customWidth="1"/>
    <col min="2" max="2" width="15.33203125" customWidth="1"/>
    <col min="3" max="3" width="19.6640625" customWidth="1"/>
    <col min="4" max="4" width="7.6640625" hidden="1" customWidth="1"/>
    <col min="5" max="5" width="10.83203125" customWidth="1"/>
    <col min="6" max="6" width="12.1640625" style="18" hidden="1" customWidth="1"/>
    <col min="7" max="7" width="14.33203125" style="21" customWidth="1"/>
    <col min="8" max="8" width="10.5" customWidth="1"/>
    <col min="9" max="9" width="12.5" bestFit="1" customWidth="1"/>
    <col min="10" max="10" width="9.83203125" style="7" customWidth="1"/>
    <col min="11" max="11" width="14.5" customWidth="1"/>
    <col min="12" max="12" width="9.5" style="48" hidden="1" customWidth="1"/>
    <col min="13" max="13" width="7.33203125" style="48" hidden="1" customWidth="1"/>
    <col min="14" max="14" width="7.1640625" style="48" hidden="1" customWidth="1"/>
    <col min="15" max="15" width="5.6640625" style="48" hidden="1" customWidth="1"/>
    <col min="16" max="16" width="16.6640625" style="48" hidden="1" customWidth="1"/>
    <col min="17" max="17" width="9.83203125" style="45" customWidth="1"/>
    <col min="19" max="19" width="11.5" customWidth="1"/>
    <col min="20" max="20" width="10.33203125" customWidth="1"/>
  </cols>
  <sheetData>
    <row r="1" spans="1:18" ht="68.25" customHeight="1" x14ac:dyDescent="0.2">
      <c r="A1" s="72" t="s">
        <v>173</v>
      </c>
      <c r="B1" s="72"/>
      <c r="C1" s="72"/>
      <c r="D1" s="72"/>
      <c r="E1" s="72"/>
      <c r="F1" s="72"/>
      <c r="G1" s="72"/>
      <c r="H1" s="72"/>
      <c r="I1" s="72"/>
      <c r="J1" s="72"/>
      <c r="K1" s="13">
        <f ca="1">TODAY()</f>
        <v>46104</v>
      </c>
    </row>
    <row r="2" spans="1:18" ht="26" x14ac:dyDescent="0.2">
      <c r="A2" s="31" t="s">
        <v>18</v>
      </c>
      <c r="B2" s="31" t="s">
        <v>9</v>
      </c>
      <c r="C2" s="31" t="s">
        <v>10</v>
      </c>
      <c r="D2" s="32" t="s">
        <v>85</v>
      </c>
      <c r="E2" s="32" t="s">
        <v>11</v>
      </c>
      <c r="F2" s="33"/>
      <c r="G2" s="34" t="s">
        <v>66</v>
      </c>
      <c r="H2" s="34" t="s">
        <v>84</v>
      </c>
      <c r="I2" s="34" t="s">
        <v>86</v>
      </c>
      <c r="J2" s="31" t="s">
        <v>17</v>
      </c>
      <c r="K2" s="35" t="s">
        <v>12</v>
      </c>
    </row>
    <row r="3" spans="1:18" x14ac:dyDescent="0.2">
      <c r="A3" s="33">
        <v>1</v>
      </c>
      <c r="B3" s="11" t="s">
        <v>370</v>
      </c>
      <c r="C3" s="11" t="s">
        <v>371</v>
      </c>
      <c r="D3" s="11"/>
      <c r="E3" s="11" t="s">
        <v>29</v>
      </c>
      <c r="F3" s="12">
        <v>45838</v>
      </c>
      <c r="G3" s="22">
        <v>7470</v>
      </c>
      <c r="H3" s="20">
        <v>38641</v>
      </c>
      <c r="I3" s="11" t="str">
        <f t="shared" ref="I3:I31" ca="1" si="0">_xlfn.FLOOR.MATH(M3)&amp;" años "&amp;P3&amp;" meses"</f>
        <v>20 años 5 meses</v>
      </c>
      <c r="J3" s="8">
        <f ca="1">F3-$K$1</f>
        <v>-266</v>
      </c>
      <c r="K3" s="11">
        <f t="shared" ref="K3:K31" ca="1" si="1">J3</f>
        <v>-266</v>
      </c>
      <c r="L3">
        <f ca="1">$K$1-H3</f>
        <v>7463</v>
      </c>
      <c r="M3">
        <f t="shared" ref="M3:M31" ca="1" si="2">L3/365</f>
        <v>20.446575342465753</v>
      </c>
      <c r="N3">
        <f t="shared" ref="N3:N31" ca="1" si="3">_xlfn.FLOOR.MATH(M3)</f>
        <v>20</v>
      </c>
      <c r="O3">
        <f t="shared" ref="O3:O31" ca="1" si="4">L3-(N3*365)</f>
        <v>163</v>
      </c>
      <c r="P3">
        <f t="shared" ref="P3:P31" ca="1" si="5">_xlfn.FLOOR.MATH(O3/30)</f>
        <v>5</v>
      </c>
      <c r="Q3"/>
    </row>
    <row r="4" spans="1:18" x14ac:dyDescent="0.2">
      <c r="A4" s="33">
        <v>2</v>
      </c>
      <c r="B4" s="11" t="s">
        <v>153</v>
      </c>
      <c r="C4" s="11" t="s">
        <v>154</v>
      </c>
      <c r="D4" s="11"/>
      <c r="E4" s="11" t="s">
        <v>29</v>
      </c>
      <c r="F4" s="12">
        <v>45838</v>
      </c>
      <c r="G4" s="22">
        <v>7470</v>
      </c>
      <c r="H4" s="20">
        <v>38740</v>
      </c>
      <c r="I4" s="11" t="str">
        <f t="shared" ca="1" si="0"/>
        <v>20 años 2 meses</v>
      </c>
      <c r="J4" s="8">
        <f ca="1">F4-'Sub16'!$K$1</f>
        <v>-266</v>
      </c>
      <c r="K4" s="11">
        <f t="shared" ca="1" si="1"/>
        <v>-266</v>
      </c>
      <c r="L4">
        <f ca="1">'Sub16'!$K$1-H4</f>
        <v>7364</v>
      </c>
      <c r="M4">
        <f t="shared" ca="1" si="2"/>
        <v>20.175342465753424</v>
      </c>
      <c r="N4">
        <f t="shared" ca="1" si="3"/>
        <v>20</v>
      </c>
      <c r="O4">
        <f t="shared" ca="1" si="4"/>
        <v>64</v>
      </c>
      <c r="P4">
        <f t="shared" ca="1" si="5"/>
        <v>2</v>
      </c>
      <c r="Q4"/>
    </row>
    <row r="5" spans="1:18" x14ac:dyDescent="0.2">
      <c r="A5" s="33">
        <v>3</v>
      </c>
      <c r="B5" s="11" t="s">
        <v>453</v>
      </c>
      <c r="C5" s="11" t="s">
        <v>428</v>
      </c>
      <c r="D5" s="11"/>
      <c r="E5" s="11" t="s">
        <v>29</v>
      </c>
      <c r="F5" s="12">
        <v>45838</v>
      </c>
      <c r="G5" s="22">
        <v>7470</v>
      </c>
      <c r="H5" s="20">
        <v>38764</v>
      </c>
      <c r="I5" s="11" t="str">
        <f t="shared" ca="1" si="0"/>
        <v>20 años 1 meses</v>
      </c>
      <c r="J5" s="8">
        <f ca="1">F5-$K$1</f>
        <v>-266</v>
      </c>
      <c r="K5" s="11">
        <f t="shared" ca="1" si="1"/>
        <v>-266</v>
      </c>
      <c r="L5">
        <f ca="1">$K$1-H5</f>
        <v>7340</v>
      </c>
      <c r="M5">
        <f t="shared" ca="1" si="2"/>
        <v>20.109589041095891</v>
      </c>
      <c r="N5">
        <f t="shared" ca="1" si="3"/>
        <v>20</v>
      </c>
      <c r="O5">
        <f t="shared" ca="1" si="4"/>
        <v>40</v>
      </c>
      <c r="P5">
        <f t="shared" ca="1" si="5"/>
        <v>1</v>
      </c>
      <c r="Q5"/>
    </row>
    <row r="6" spans="1:18" x14ac:dyDescent="0.2">
      <c r="A6" s="33">
        <v>4</v>
      </c>
      <c r="B6" s="11" t="s">
        <v>361</v>
      </c>
      <c r="C6" s="11" t="s">
        <v>382</v>
      </c>
      <c r="D6" s="29"/>
      <c r="E6" s="11" t="s">
        <v>29</v>
      </c>
      <c r="F6" s="12">
        <v>45838</v>
      </c>
      <c r="G6" s="22">
        <v>7470</v>
      </c>
      <c r="H6" s="17">
        <v>38411</v>
      </c>
      <c r="I6" s="11" t="str">
        <f t="shared" ca="1" si="0"/>
        <v>21 años 0 meses</v>
      </c>
      <c r="J6" s="8">
        <f ca="1">F6-$K$1</f>
        <v>-266</v>
      </c>
      <c r="K6" s="11">
        <f t="shared" ca="1" si="1"/>
        <v>-266</v>
      </c>
      <c r="L6" s="49">
        <f ca="1">$K$1-H6</f>
        <v>7693</v>
      </c>
      <c r="M6" s="49">
        <f t="shared" ca="1" si="2"/>
        <v>21.076712328767123</v>
      </c>
      <c r="N6" s="49">
        <f t="shared" ca="1" si="3"/>
        <v>21</v>
      </c>
      <c r="O6" s="49">
        <f t="shared" ca="1" si="4"/>
        <v>28</v>
      </c>
      <c r="P6" s="49">
        <f t="shared" ca="1" si="5"/>
        <v>0</v>
      </c>
      <c r="Q6" s="43"/>
    </row>
    <row r="7" spans="1:18" x14ac:dyDescent="0.2">
      <c r="A7" s="33">
        <v>5</v>
      </c>
      <c r="B7" s="11" t="s">
        <v>380</v>
      </c>
      <c r="C7" s="11" t="s">
        <v>381</v>
      </c>
      <c r="D7" s="29"/>
      <c r="E7" s="11" t="s">
        <v>29</v>
      </c>
      <c r="F7" s="12">
        <v>45838</v>
      </c>
      <c r="G7" s="22">
        <v>7470</v>
      </c>
      <c r="H7" s="20">
        <v>38652</v>
      </c>
      <c r="I7" s="11" t="str">
        <f t="shared" ca="1" si="0"/>
        <v>20 años 5 meses</v>
      </c>
      <c r="J7" s="8">
        <f ca="1">F7-'Sub16'!$K$1</f>
        <v>-266</v>
      </c>
      <c r="K7" s="11">
        <f t="shared" ca="1" si="1"/>
        <v>-266</v>
      </c>
      <c r="L7">
        <f ca="1">'Sub16'!$K$1-H7</f>
        <v>7452</v>
      </c>
      <c r="M7">
        <f t="shared" ca="1" si="2"/>
        <v>20.416438356164385</v>
      </c>
      <c r="N7">
        <f t="shared" ca="1" si="3"/>
        <v>20</v>
      </c>
      <c r="O7">
        <f t="shared" ca="1" si="4"/>
        <v>152</v>
      </c>
      <c r="P7">
        <f t="shared" ca="1" si="5"/>
        <v>5</v>
      </c>
      <c r="Q7"/>
    </row>
    <row r="8" spans="1:18" s="21" customFormat="1" x14ac:dyDescent="0.2">
      <c r="A8" s="33">
        <v>6</v>
      </c>
      <c r="B8" s="11" t="s">
        <v>368</v>
      </c>
      <c r="C8" s="11" t="s">
        <v>369</v>
      </c>
      <c r="D8" s="11"/>
      <c r="E8" s="11" t="s">
        <v>29</v>
      </c>
      <c r="F8" s="12">
        <v>45838</v>
      </c>
      <c r="G8" s="22">
        <v>7470</v>
      </c>
      <c r="H8" s="17">
        <v>38551</v>
      </c>
      <c r="I8" s="11" t="str">
        <f t="shared" ca="1" si="0"/>
        <v>20 años 8 meses</v>
      </c>
      <c r="J8" s="8">
        <f ca="1">F8-'Sub16'!$K$1</f>
        <v>-266</v>
      </c>
      <c r="K8" s="11">
        <f t="shared" ca="1" si="1"/>
        <v>-266</v>
      </c>
      <c r="L8">
        <f ca="1">'Sub16'!$K$1-H8</f>
        <v>7553</v>
      </c>
      <c r="M8">
        <f t="shared" ca="1" si="2"/>
        <v>20.693150684931506</v>
      </c>
      <c r="N8">
        <f t="shared" ca="1" si="3"/>
        <v>20</v>
      </c>
      <c r="O8">
        <f t="shared" ca="1" si="4"/>
        <v>253</v>
      </c>
      <c r="P8">
        <f t="shared" ca="1" si="5"/>
        <v>8</v>
      </c>
      <c r="Q8" s="44"/>
      <c r="R8"/>
    </row>
    <row r="9" spans="1:18" s="21" customFormat="1" x14ac:dyDescent="0.2">
      <c r="A9" s="33">
        <v>7</v>
      </c>
      <c r="B9" s="11" t="s">
        <v>225</v>
      </c>
      <c r="C9" s="11" t="s">
        <v>226</v>
      </c>
      <c r="D9" s="11"/>
      <c r="E9" s="11" t="s">
        <v>29</v>
      </c>
      <c r="F9" s="12">
        <v>45838</v>
      </c>
      <c r="G9" s="22">
        <v>7470</v>
      </c>
      <c r="H9" s="17">
        <v>38779</v>
      </c>
      <c r="I9" s="11" t="str">
        <f t="shared" ca="1" si="0"/>
        <v>20 años 0 meses</v>
      </c>
      <c r="J9" s="8">
        <f ca="1">F9-'Sub16'!$K$1</f>
        <v>-266</v>
      </c>
      <c r="K9" s="11">
        <f t="shared" ca="1" si="1"/>
        <v>-266</v>
      </c>
      <c r="L9">
        <f ca="1">'Sub16'!$K$1-H9</f>
        <v>7325</v>
      </c>
      <c r="M9">
        <f t="shared" ca="1" si="2"/>
        <v>20.068493150684933</v>
      </c>
      <c r="N9">
        <f t="shared" ca="1" si="3"/>
        <v>20</v>
      </c>
      <c r="O9">
        <f t="shared" ca="1" si="4"/>
        <v>25</v>
      </c>
      <c r="P9">
        <f t="shared" ca="1" si="5"/>
        <v>0</v>
      </c>
      <c r="Q9"/>
      <c r="R9"/>
    </row>
    <row r="10" spans="1:18" s="21" customFormat="1" x14ac:dyDescent="0.2">
      <c r="A10" s="33">
        <v>8</v>
      </c>
      <c r="B10" s="11" t="s">
        <v>138</v>
      </c>
      <c r="C10" s="11" t="s">
        <v>139</v>
      </c>
      <c r="D10" s="11"/>
      <c r="E10" s="11" t="s">
        <v>29</v>
      </c>
      <c r="F10" s="12">
        <v>45838</v>
      </c>
      <c r="G10" s="22">
        <v>7470</v>
      </c>
      <c r="H10" s="17">
        <v>38480</v>
      </c>
      <c r="I10" s="11" t="str">
        <f t="shared" ca="1" si="0"/>
        <v>20 años 10 meses</v>
      </c>
      <c r="J10" s="8">
        <f ca="1">F10-'Sub16'!$K$1</f>
        <v>-266</v>
      </c>
      <c r="K10" s="11">
        <f t="shared" ca="1" si="1"/>
        <v>-266</v>
      </c>
      <c r="L10">
        <f ca="1">'Sub16'!$K$1-H10</f>
        <v>7624</v>
      </c>
      <c r="M10">
        <f t="shared" ca="1" si="2"/>
        <v>20.887671232876713</v>
      </c>
      <c r="N10">
        <f t="shared" ca="1" si="3"/>
        <v>20</v>
      </c>
      <c r="O10">
        <f t="shared" ca="1" si="4"/>
        <v>324</v>
      </c>
      <c r="P10">
        <f t="shared" ca="1" si="5"/>
        <v>10</v>
      </c>
      <c r="Q10" s="44"/>
      <c r="R10"/>
    </row>
    <row r="11" spans="1:18" s="21" customFormat="1" x14ac:dyDescent="0.2">
      <c r="A11" s="33">
        <v>9</v>
      </c>
      <c r="B11" s="11" t="s">
        <v>144</v>
      </c>
      <c r="C11" s="11" t="s">
        <v>145</v>
      </c>
      <c r="D11" s="11"/>
      <c r="E11" s="11" t="s">
        <v>31</v>
      </c>
      <c r="F11" s="12">
        <v>46203</v>
      </c>
      <c r="G11" s="22">
        <v>7470</v>
      </c>
      <c r="H11" s="17">
        <v>38524</v>
      </c>
      <c r="I11" s="11" t="str">
        <f t="shared" ca="1" si="0"/>
        <v>20 años 9 meses</v>
      </c>
      <c r="J11" s="8">
        <f ca="1">F11-'Sub16'!$K$1</f>
        <v>99</v>
      </c>
      <c r="K11" s="11">
        <f t="shared" ca="1" si="1"/>
        <v>99</v>
      </c>
      <c r="L11">
        <f ca="1">'Sub16'!$K$1-H11</f>
        <v>7580</v>
      </c>
      <c r="M11">
        <f t="shared" ca="1" si="2"/>
        <v>20.767123287671232</v>
      </c>
      <c r="N11">
        <f t="shared" ca="1" si="3"/>
        <v>20</v>
      </c>
      <c r="O11">
        <f t="shared" ca="1" si="4"/>
        <v>280</v>
      </c>
      <c r="P11">
        <f t="shared" ca="1" si="5"/>
        <v>9</v>
      </c>
      <c r="Q11" s="44"/>
      <c r="R11"/>
    </row>
    <row r="12" spans="1:18" x14ac:dyDescent="0.2">
      <c r="A12" s="33">
        <v>10</v>
      </c>
      <c r="B12" s="11" t="s">
        <v>362</v>
      </c>
      <c r="C12" s="11" t="s">
        <v>363</v>
      </c>
      <c r="D12" s="11"/>
      <c r="E12" s="11" t="s">
        <v>29</v>
      </c>
      <c r="F12" s="12">
        <v>45838</v>
      </c>
      <c r="G12" s="22">
        <v>7470</v>
      </c>
      <c r="H12" s="17">
        <v>38458</v>
      </c>
      <c r="I12" s="11" t="str">
        <f t="shared" ca="1" si="0"/>
        <v>20 años 11 meses</v>
      </c>
      <c r="J12" s="8">
        <f ca="1">F12-$K$1</f>
        <v>-266</v>
      </c>
      <c r="K12" s="11">
        <f t="shared" ca="1" si="1"/>
        <v>-266</v>
      </c>
      <c r="L12" s="49">
        <f ca="1">$K$1-H12</f>
        <v>7646</v>
      </c>
      <c r="M12" s="49">
        <f t="shared" ca="1" si="2"/>
        <v>20.947945205479453</v>
      </c>
      <c r="N12" s="49">
        <f t="shared" ca="1" si="3"/>
        <v>20</v>
      </c>
      <c r="O12" s="49">
        <f t="shared" ca="1" si="4"/>
        <v>346</v>
      </c>
      <c r="P12" s="49">
        <f t="shared" ca="1" si="5"/>
        <v>11</v>
      </c>
      <c r="Q12" s="43"/>
    </row>
    <row r="13" spans="1:18" x14ac:dyDescent="0.2">
      <c r="A13" s="33">
        <v>11</v>
      </c>
      <c r="B13" s="11" t="s">
        <v>119</v>
      </c>
      <c r="C13" s="11" t="s">
        <v>155</v>
      </c>
      <c r="D13" s="11"/>
      <c r="E13" s="11" t="s">
        <v>29</v>
      </c>
      <c r="F13" s="12">
        <v>45838</v>
      </c>
      <c r="G13" s="22">
        <v>7470</v>
      </c>
      <c r="H13" s="20">
        <v>38832</v>
      </c>
      <c r="I13" s="11" t="str">
        <f t="shared" ca="1" si="0"/>
        <v>19 años 11 meses</v>
      </c>
      <c r="J13" s="8">
        <f ca="1">F13-'Sub16'!$K$1</f>
        <v>-266</v>
      </c>
      <c r="K13" s="11">
        <f t="shared" ca="1" si="1"/>
        <v>-266</v>
      </c>
      <c r="L13">
        <f ca="1">'Sub16'!$K$1-H13</f>
        <v>7272</v>
      </c>
      <c r="M13">
        <f t="shared" ca="1" si="2"/>
        <v>19.923287671232877</v>
      </c>
      <c r="N13">
        <f t="shared" ca="1" si="3"/>
        <v>19</v>
      </c>
      <c r="O13">
        <f t="shared" ca="1" si="4"/>
        <v>337</v>
      </c>
      <c r="P13">
        <f t="shared" ca="1" si="5"/>
        <v>11</v>
      </c>
      <c r="Q13"/>
    </row>
    <row r="14" spans="1:18" x14ac:dyDescent="0.2">
      <c r="A14" s="33">
        <v>12</v>
      </c>
      <c r="B14" s="11" t="s">
        <v>245</v>
      </c>
      <c r="C14" s="11" t="s">
        <v>156</v>
      </c>
      <c r="D14" s="11"/>
      <c r="E14" s="11" t="s">
        <v>31</v>
      </c>
      <c r="F14" s="12">
        <v>45473</v>
      </c>
      <c r="G14" s="22">
        <v>7470</v>
      </c>
      <c r="H14" s="20">
        <v>38674</v>
      </c>
      <c r="I14" s="11" t="str">
        <f t="shared" ca="1" si="0"/>
        <v>20 años 4 meses</v>
      </c>
      <c r="J14" s="8">
        <f ca="1">F14-'Sub16'!$K$1</f>
        <v>-631</v>
      </c>
      <c r="K14" s="11">
        <f t="shared" ca="1" si="1"/>
        <v>-631</v>
      </c>
      <c r="L14">
        <f ca="1">'Sub16'!$K$1-H14</f>
        <v>7430</v>
      </c>
      <c r="M14">
        <f t="shared" ca="1" si="2"/>
        <v>20.356164383561644</v>
      </c>
      <c r="N14">
        <f t="shared" ca="1" si="3"/>
        <v>20</v>
      </c>
      <c r="O14">
        <f t="shared" ca="1" si="4"/>
        <v>130</v>
      </c>
      <c r="P14">
        <f t="shared" ca="1" si="5"/>
        <v>4</v>
      </c>
      <c r="Q14" s="43"/>
    </row>
    <row r="15" spans="1:18" x14ac:dyDescent="0.2">
      <c r="A15" s="33">
        <v>13</v>
      </c>
      <c r="B15" s="11" t="s">
        <v>357</v>
      </c>
      <c r="C15" s="11" t="s">
        <v>358</v>
      </c>
      <c r="D15" s="11"/>
      <c r="E15" s="11" t="s">
        <v>29</v>
      </c>
      <c r="F15" s="12">
        <v>45838</v>
      </c>
      <c r="G15" s="22">
        <v>7470</v>
      </c>
      <c r="H15" s="20">
        <v>38607</v>
      </c>
      <c r="I15" s="11" t="str">
        <f t="shared" ca="1" si="0"/>
        <v>20 años 6 meses</v>
      </c>
      <c r="J15" s="8">
        <f ca="1">F15-'Sub16'!$K$1</f>
        <v>-266</v>
      </c>
      <c r="K15" s="11">
        <f t="shared" ca="1" si="1"/>
        <v>-266</v>
      </c>
      <c r="L15">
        <f ca="1">'Sub16'!$K$1-H15</f>
        <v>7497</v>
      </c>
      <c r="M15">
        <f t="shared" ca="1" si="2"/>
        <v>20.539726027397261</v>
      </c>
      <c r="N15">
        <f t="shared" ca="1" si="3"/>
        <v>20</v>
      </c>
      <c r="O15">
        <f t="shared" ca="1" si="4"/>
        <v>197</v>
      </c>
      <c r="P15">
        <f t="shared" ca="1" si="5"/>
        <v>6</v>
      </c>
      <c r="Q15"/>
    </row>
    <row r="16" spans="1:18" s="21" customFormat="1" x14ac:dyDescent="0.2">
      <c r="A16" s="33">
        <v>14</v>
      </c>
      <c r="B16" s="11" t="s">
        <v>249</v>
      </c>
      <c r="C16" s="11" t="s">
        <v>250</v>
      </c>
      <c r="D16" s="11"/>
      <c r="E16" s="11" t="s">
        <v>29</v>
      </c>
      <c r="F16" s="12">
        <v>45838</v>
      </c>
      <c r="G16" s="19">
        <v>0</v>
      </c>
      <c r="H16" s="20">
        <v>38868</v>
      </c>
      <c r="I16" s="11" t="str">
        <f t="shared" ca="1" si="0"/>
        <v>19 años 10 meses</v>
      </c>
      <c r="J16" s="8">
        <f ca="1">F16-'Sub16'!$K$1</f>
        <v>-266</v>
      </c>
      <c r="K16" s="11">
        <f t="shared" ca="1" si="1"/>
        <v>-266</v>
      </c>
      <c r="L16">
        <f ca="1">'Sub16'!$K$1-H16</f>
        <v>7236</v>
      </c>
      <c r="M16" s="21">
        <f t="shared" ca="1" si="2"/>
        <v>19.824657534246576</v>
      </c>
      <c r="N16" s="21">
        <f t="shared" ca="1" si="3"/>
        <v>19</v>
      </c>
      <c r="O16" s="21">
        <f t="shared" ca="1" si="4"/>
        <v>301</v>
      </c>
      <c r="P16" s="21">
        <f t="shared" ca="1" si="5"/>
        <v>10</v>
      </c>
      <c r="Q16" s="43" t="s">
        <v>112</v>
      </c>
    </row>
    <row r="17" spans="1:17" s="21" customFormat="1" x14ac:dyDescent="0.2">
      <c r="A17" s="33">
        <v>15</v>
      </c>
      <c r="B17" s="11" t="s">
        <v>376</v>
      </c>
      <c r="C17" s="11" t="s">
        <v>377</v>
      </c>
      <c r="D17" s="11"/>
      <c r="E17" s="11" t="s">
        <v>29</v>
      </c>
      <c r="F17" s="12">
        <v>45838</v>
      </c>
      <c r="G17" s="22">
        <v>7470</v>
      </c>
      <c r="H17" s="17">
        <v>38546</v>
      </c>
      <c r="I17" s="11" t="str">
        <f t="shared" ca="1" si="0"/>
        <v>20 años 8 meses</v>
      </c>
      <c r="J17" s="8">
        <f ca="1">F17-$K$1</f>
        <v>-266</v>
      </c>
      <c r="K17" s="11">
        <f t="shared" ca="1" si="1"/>
        <v>-266</v>
      </c>
      <c r="L17" s="49">
        <f ca="1">$K$1-H17</f>
        <v>7558</v>
      </c>
      <c r="M17" s="49">
        <f t="shared" ca="1" si="2"/>
        <v>20.706849315068492</v>
      </c>
      <c r="N17" s="49">
        <f t="shared" ca="1" si="3"/>
        <v>20</v>
      </c>
      <c r="O17" s="49">
        <f t="shared" ca="1" si="4"/>
        <v>258</v>
      </c>
      <c r="P17" s="49">
        <f t="shared" ca="1" si="5"/>
        <v>8</v>
      </c>
      <c r="Q17" s="43"/>
    </row>
    <row r="18" spans="1:17" x14ac:dyDescent="0.2">
      <c r="A18" s="33">
        <v>16</v>
      </c>
      <c r="B18" s="11" t="s">
        <v>378</v>
      </c>
      <c r="C18" s="11" t="s">
        <v>379</v>
      </c>
      <c r="D18" s="11"/>
      <c r="E18" s="11" t="s">
        <v>29</v>
      </c>
      <c r="F18" s="12">
        <v>45838</v>
      </c>
      <c r="G18" s="22">
        <v>0</v>
      </c>
      <c r="H18" s="17">
        <v>38542</v>
      </c>
      <c r="I18" s="11" t="str">
        <f t="shared" ca="1" si="0"/>
        <v>20 años 8 meses</v>
      </c>
      <c r="J18" s="8">
        <f ca="1">F18-$K$1</f>
        <v>-266</v>
      </c>
      <c r="K18" s="11">
        <f t="shared" ca="1" si="1"/>
        <v>-266</v>
      </c>
      <c r="L18" s="48">
        <f ca="1">$K$1-H18</f>
        <v>7562</v>
      </c>
      <c r="M18" s="48">
        <f t="shared" ca="1" si="2"/>
        <v>20.717808219178082</v>
      </c>
      <c r="N18" s="48">
        <f t="shared" ca="1" si="3"/>
        <v>20</v>
      </c>
      <c r="O18" s="48">
        <f t="shared" ca="1" si="4"/>
        <v>262</v>
      </c>
      <c r="P18" s="48">
        <f t="shared" ca="1" si="5"/>
        <v>8</v>
      </c>
      <c r="Q18" s="43" t="s">
        <v>112</v>
      </c>
    </row>
    <row r="19" spans="1:17" x14ac:dyDescent="0.2">
      <c r="A19" s="33">
        <v>17</v>
      </c>
      <c r="B19" s="11" t="s">
        <v>364</v>
      </c>
      <c r="C19" s="11" t="s">
        <v>365</v>
      </c>
      <c r="D19" s="11"/>
      <c r="E19" s="11" t="s">
        <v>29</v>
      </c>
      <c r="F19" s="12">
        <v>45838</v>
      </c>
      <c r="G19" s="22">
        <v>7470</v>
      </c>
      <c r="H19" s="17">
        <v>38390</v>
      </c>
      <c r="I19" s="11" t="str">
        <f t="shared" ca="1" si="0"/>
        <v>21 años 1 meses</v>
      </c>
      <c r="J19" s="8">
        <f ca="1">F19-$K$1</f>
        <v>-266</v>
      </c>
      <c r="K19" s="11">
        <f t="shared" ca="1" si="1"/>
        <v>-266</v>
      </c>
      <c r="L19" s="49">
        <f ca="1">$K$1-H19</f>
        <v>7714</v>
      </c>
      <c r="M19" s="49">
        <f t="shared" ca="1" si="2"/>
        <v>21.134246575342466</v>
      </c>
      <c r="N19" s="49">
        <f t="shared" ca="1" si="3"/>
        <v>21</v>
      </c>
      <c r="O19" s="49">
        <f t="shared" ca="1" si="4"/>
        <v>49</v>
      </c>
      <c r="P19" s="49">
        <f t="shared" ca="1" si="5"/>
        <v>1</v>
      </c>
      <c r="Q19" s="43"/>
    </row>
    <row r="20" spans="1:17" x14ac:dyDescent="0.2">
      <c r="A20" s="33">
        <v>18</v>
      </c>
      <c r="B20" s="11" t="s">
        <v>372</v>
      </c>
      <c r="C20" s="11" t="s">
        <v>373</v>
      </c>
      <c r="D20" s="11"/>
      <c r="E20" s="11" t="s">
        <v>29</v>
      </c>
      <c r="F20" s="12">
        <v>45838</v>
      </c>
      <c r="G20" s="22">
        <v>7470</v>
      </c>
      <c r="H20" s="20">
        <v>38517</v>
      </c>
      <c r="I20" s="11" t="str">
        <f t="shared" ca="1" si="0"/>
        <v>20 años 9 meses</v>
      </c>
      <c r="J20" s="8">
        <f ca="1">F20-'Sub16'!$K$1</f>
        <v>-266</v>
      </c>
      <c r="K20" s="11">
        <f t="shared" ca="1" si="1"/>
        <v>-266</v>
      </c>
      <c r="L20">
        <f ca="1">'Sub16'!$K$1-H20</f>
        <v>7587</v>
      </c>
      <c r="M20">
        <f t="shared" ca="1" si="2"/>
        <v>20.786301369863015</v>
      </c>
      <c r="N20">
        <f t="shared" ca="1" si="3"/>
        <v>20</v>
      </c>
      <c r="O20">
        <f t="shared" ca="1" si="4"/>
        <v>287</v>
      </c>
      <c r="P20">
        <f t="shared" ca="1" si="5"/>
        <v>9</v>
      </c>
      <c r="Q20"/>
    </row>
    <row r="21" spans="1:17" x14ac:dyDescent="0.2">
      <c r="A21" s="33">
        <v>19</v>
      </c>
      <c r="B21" s="11" t="s">
        <v>87</v>
      </c>
      <c r="C21" s="11" t="s">
        <v>162</v>
      </c>
      <c r="D21" s="11"/>
      <c r="E21" s="11" t="s">
        <v>29</v>
      </c>
      <c r="F21" s="12">
        <v>45838</v>
      </c>
      <c r="G21" s="22">
        <v>7470</v>
      </c>
      <c r="H21" s="20">
        <v>38377</v>
      </c>
      <c r="I21" s="11" t="str">
        <f t="shared" ca="1" si="0"/>
        <v>21 años 2 meses</v>
      </c>
      <c r="J21" s="8">
        <f ca="1">F21-$K$1</f>
        <v>-266</v>
      </c>
      <c r="K21" s="11">
        <f t="shared" ca="1" si="1"/>
        <v>-266</v>
      </c>
      <c r="L21">
        <f ca="1">$K$1-H21</f>
        <v>7727</v>
      </c>
      <c r="M21">
        <f t="shared" ca="1" si="2"/>
        <v>21.169863013698631</v>
      </c>
      <c r="N21">
        <f t="shared" ca="1" si="3"/>
        <v>21</v>
      </c>
      <c r="O21">
        <f t="shared" ca="1" si="4"/>
        <v>62</v>
      </c>
      <c r="P21">
        <f t="shared" ca="1" si="5"/>
        <v>2</v>
      </c>
      <c r="Q21"/>
    </row>
    <row r="22" spans="1:17" x14ac:dyDescent="0.2">
      <c r="A22" s="33">
        <v>20</v>
      </c>
      <c r="B22" s="11" t="s">
        <v>374</v>
      </c>
      <c r="C22" s="11" t="s">
        <v>375</v>
      </c>
      <c r="D22" s="11"/>
      <c r="E22" s="11" t="s">
        <v>29</v>
      </c>
      <c r="F22" s="12">
        <v>45838</v>
      </c>
      <c r="G22" s="22">
        <v>7470</v>
      </c>
      <c r="H22" s="20">
        <v>38476</v>
      </c>
      <c r="I22" s="11" t="str">
        <f t="shared" ca="1" si="0"/>
        <v>20 años 10 meses</v>
      </c>
      <c r="J22" s="8">
        <f ca="1">F22-'Sub16'!$K$1</f>
        <v>-266</v>
      </c>
      <c r="K22" s="11">
        <f t="shared" ca="1" si="1"/>
        <v>-266</v>
      </c>
      <c r="L22">
        <f ca="1">'Sub16'!$K$1-H22</f>
        <v>7628</v>
      </c>
      <c r="M22">
        <f t="shared" ca="1" si="2"/>
        <v>20.898630136986302</v>
      </c>
      <c r="N22">
        <f t="shared" ca="1" si="3"/>
        <v>20</v>
      </c>
      <c r="O22">
        <f t="shared" ca="1" si="4"/>
        <v>328</v>
      </c>
      <c r="P22">
        <f t="shared" ca="1" si="5"/>
        <v>10</v>
      </c>
      <c r="Q22"/>
    </row>
    <row r="23" spans="1:17" x14ac:dyDescent="0.2">
      <c r="A23" s="33">
        <v>21</v>
      </c>
      <c r="B23" s="11" t="s">
        <v>359</v>
      </c>
      <c r="C23" s="11" t="s">
        <v>360</v>
      </c>
      <c r="D23" s="11"/>
      <c r="E23" s="11" t="s">
        <v>29</v>
      </c>
      <c r="F23" s="12">
        <v>45838</v>
      </c>
      <c r="G23" s="22">
        <v>7470</v>
      </c>
      <c r="H23" s="20">
        <v>38408</v>
      </c>
      <c r="I23" s="11" t="str">
        <f t="shared" ca="1" si="0"/>
        <v>21 años 1 meses</v>
      </c>
      <c r="J23" s="8">
        <f ca="1">F23-'Sub16'!$K$1</f>
        <v>-266</v>
      </c>
      <c r="K23" s="11">
        <f t="shared" ca="1" si="1"/>
        <v>-266</v>
      </c>
      <c r="L23">
        <f ca="1">'Sub16'!$K$1-H23</f>
        <v>7696</v>
      </c>
      <c r="M23">
        <f t="shared" ca="1" si="2"/>
        <v>21.084931506849315</v>
      </c>
      <c r="N23">
        <f t="shared" ca="1" si="3"/>
        <v>21</v>
      </c>
      <c r="O23">
        <f t="shared" ca="1" si="4"/>
        <v>31</v>
      </c>
      <c r="P23">
        <f t="shared" ca="1" si="5"/>
        <v>1</v>
      </c>
      <c r="Q23"/>
    </row>
    <row r="24" spans="1:17" x14ac:dyDescent="0.2">
      <c r="A24" s="33">
        <v>22</v>
      </c>
      <c r="B24" s="11" t="s">
        <v>366</v>
      </c>
      <c r="C24" s="11" t="s">
        <v>367</v>
      </c>
      <c r="D24" s="11"/>
      <c r="E24" s="11" t="s">
        <v>31</v>
      </c>
      <c r="F24" s="12">
        <v>45838</v>
      </c>
      <c r="G24" s="22">
        <v>7470</v>
      </c>
      <c r="H24" s="17">
        <v>38707</v>
      </c>
      <c r="I24" s="11" t="str">
        <f t="shared" ca="1" si="0"/>
        <v>20 años 3 meses</v>
      </c>
      <c r="J24" s="8">
        <f ca="1">F24-$K$1</f>
        <v>-266</v>
      </c>
      <c r="K24" s="11">
        <f t="shared" ca="1" si="1"/>
        <v>-266</v>
      </c>
      <c r="L24" s="49">
        <f ca="1">$K$1-H24</f>
        <v>7397</v>
      </c>
      <c r="M24" s="49">
        <f t="shared" ca="1" si="2"/>
        <v>20.265753424657536</v>
      </c>
      <c r="N24" s="49">
        <f t="shared" ca="1" si="3"/>
        <v>20</v>
      </c>
      <c r="O24" s="49">
        <f t="shared" ca="1" si="4"/>
        <v>97</v>
      </c>
      <c r="P24" s="49">
        <f t="shared" ca="1" si="5"/>
        <v>3</v>
      </c>
      <c r="Q24" s="43"/>
    </row>
    <row r="25" spans="1:17" x14ac:dyDescent="0.2">
      <c r="A25" s="33">
        <v>23</v>
      </c>
      <c r="B25" s="11" t="s">
        <v>449</v>
      </c>
      <c r="C25" s="11" t="s">
        <v>450</v>
      </c>
      <c r="D25" s="11"/>
      <c r="E25" s="11" t="s">
        <v>29</v>
      </c>
      <c r="F25" s="12">
        <v>45838</v>
      </c>
      <c r="G25" s="22">
        <v>7470</v>
      </c>
      <c r="H25" s="20">
        <v>38727</v>
      </c>
      <c r="I25" s="11" t="str">
        <f t="shared" ca="1" si="0"/>
        <v>20 años 2 meses</v>
      </c>
      <c r="J25" s="8">
        <f ca="1">F25-$K$1</f>
        <v>-266</v>
      </c>
      <c r="K25" s="11">
        <f t="shared" ca="1" si="1"/>
        <v>-266</v>
      </c>
      <c r="L25">
        <f ca="1">$K$1-H25</f>
        <v>7377</v>
      </c>
      <c r="M25">
        <f t="shared" ca="1" si="2"/>
        <v>20.210958904109589</v>
      </c>
      <c r="N25">
        <f t="shared" ca="1" si="3"/>
        <v>20</v>
      </c>
      <c r="O25">
        <f t="shared" ca="1" si="4"/>
        <v>77</v>
      </c>
      <c r="P25">
        <f t="shared" ca="1" si="5"/>
        <v>2</v>
      </c>
      <c r="Q25"/>
    </row>
    <row r="26" spans="1:17" x14ac:dyDescent="0.2">
      <c r="A26" s="33">
        <v>24</v>
      </c>
      <c r="B26" s="11" t="s">
        <v>103</v>
      </c>
      <c r="C26" s="11" t="s">
        <v>227</v>
      </c>
      <c r="D26" s="11"/>
      <c r="E26" s="11" t="s">
        <v>29</v>
      </c>
      <c r="F26" s="12">
        <v>45838</v>
      </c>
      <c r="G26" s="22">
        <v>0</v>
      </c>
      <c r="H26" s="17">
        <v>38795</v>
      </c>
      <c r="I26" s="11" t="str">
        <f t="shared" ca="1" si="0"/>
        <v>20 años 0 meses</v>
      </c>
      <c r="J26" s="8">
        <f ca="1">F26-'Sub16'!$K$1</f>
        <v>-266</v>
      </c>
      <c r="K26" s="11">
        <f t="shared" ca="1" si="1"/>
        <v>-266</v>
      </c>
      <c r="L26">
        <f ca="1">'Sub16'!$K$1-H26</f>
        <v>7309</v>
      </c>
      <c r="M26">
        <f t="shared" ca="1" si="2"/>
        <v>20.024657534246575</v>
      </c>
      <c r="N26">
        <f t="shared" ca="1" si="3"/>
        <v>20</v>
      </c>
      <c r="O26">
        <f t="shared" ca="1" si="4"/>
        <v>9</v>
      </c>
      <c r="P26">
        <f t="shared" ca="1" si="5"/>
        <v>0</v>
      </c>
      <c r="Q26" s="43" t="s">
        <v>112</v>
      </c>
    </row>
    <row r="27" spans="1:17" ht="17.5" customHeight="1" x14ac:dyDescent="0.2">
      <c r="A27" s="33">
        <v>25</v>
      </c>
      <c r="B27" s="11" t="s">
        <v>252</v>
      </c>
      <c r="C27" s="11" t="s">
        <v>253</v>
      </c>
      <c r="D27" s="11"/>
      <c r="E27" s="11" t="s">
        <v>29</v>
      </c>
      <c r="F27" s="17">
        <v>45838</v>
      </c>
      <c r="G27" s="22">
        <v>0</v>
      </c>
      <c r="H27" s="20">
        <v>38746</v>
      </c>
      <c r="I27" s="11" t="str">
        <f t="shared" ca="1" si="0"/>
        <v>20 años 1 meses</v>
      </c>
      <c r="J27" s="8">
        <f ca="1">F27-'Sub16'!$K$1</f>
        <v>-266</v>
      </c>
      <c r="K27" s="11">
        <f t="shared" ca="1" si="1"/>
        <v>-266</v>
      </c>
      <c r="L27">
        <f ca="1">'Sub16'!$K$1-H27</f>
        <v>7358</v>
      </c>
      <c r="M27">
        <f t="shared" ca="1" si="2"/>
        <v>20.158904109589042</v>
      </c>
      <c r="N27">
        <f t="shared" ca="1" si="3"/>
        <v>20</v>
      </c>
      <c r="O27">
        <f t="shared" ca="1" si="4"/>
        <v>58</v>
      </c>
      <c r="P27">
        <f t="shared" ca="1" si="5"/>
        <v>1</v>
      </c>
      <c r="Q27" s="43" t="s">
        <v>112</v>
      </c>
    </row>
    <row r="28" spans="1:17" ht="17.5" customHeight="1" x14ac:dyDescent="0.2">
      <c r="A28" s="33">
        <v>26</v>
      </c>
      <c r="B28" s="11" t="s">
        <v>228</v>
      </c>
      <c r="C28" s="11" t="s">
        <v>229</v>
      </c>
      <c r="D28" s="11"/>
      <c r="E28" s="11" t="s">
        <v>29</v>
      </c>
      <c r="F28" s="12">
        <v>45838</v>
      </c>
      <c r="G28" s="22">
        <v>7470</v>
      </c>
      <c r="H28" s="20">
        <v>38788</v>
      </c>
      <c r="I28" s="11" t="str">
        <f t="shared" ca="1" si="0"/>
        <v>20 años 0 meses</v>
      </c>
      <c r="J28" s="8">
        <f ca="1">F28-'Sub16'!$K$1</f>
        <v>-266</v>
      </c>
      <c r="K28" s="11">
        <f t="shared" ca="1" si="1"/>
        <v>-266</v>
      </c>
      <c r="L28">
        <f ca="1">'Sub16'!$K$1-H28</f>
        <v>7316</v>
      </c>
      <c r="M28">
        <f t="shared" ca="1" si="2"/>
        <v>20.043835616438358</v>
      </c>
      <c r="N28">
        <f t="shared" ca="1" si="3"/>
        <v>20</v>
      </c>
      <c r="O28">
        <f t="shared" ca="1" si="4"/>
        <v>16</v>
      </c>
      <c r="P28">
        <f t="shared" ca="1" si="5"/>
        <v>0</v>
      </c>
      <c r="Q28"/>
    </row>
    <row r="29" spans="1:17" ht="17.5" customHeight="1" x14ac:dyDescent="0.2">
      <c r="A29" s="33">
        <v>27</v>
      </c>
      <c r="B29" s="11" t="s">
        <v>451</v>
      </c>
      <c r="C29" s="11" t="s">
        <v>452</v>
      </c>
      <c r="D29" s="11"/>
      <c r="E29" s="11" t="s">
        <v>29</v>
      </c>
      <c r="F29" s="12">
        <v>45838</v>
      </c>
      <c r="G29" s="22">
        <v>7470</v>
      </c>
      <c r="H29" s="17">
        <v>38822</v>
      </c>
      <c r="I29" s="11" t="str">
        <f t="shared" ca="1" si="0"/>
        <v>19 años 11 meses</v>
      </c>
      <c r="J29" s="8">
        <f ca="1">F29-$K$1</f>
        <v>-266</v>
      </c>
      <c r="K29" s="11">
        <f t="shared" ca="1" si="1"/>
        <v>-266</v>
      </c>
      <c r="L29" s="49">
        <f ca="1">$K$1-H29</f>
        <v>7282</v>
      </c>
      <c r="M29" s="49">
        <f t="shared" ca="1" si="2"/>
        <v>19.950684931506849</v>
      </c>
      <c r="N29" s="49">
        <f t="shared" ca="1" si="3"/>
        <v>19</v>
      </c>
      <c r="O29" s="49">
        <f t="shared" ca="1" si="4"/>
        <v>347</v>
      </c>
      <c r="P29" s="49">
        <f t="shared" ca="1" si="5"/>
        <v>11</v>
      </c>
      <c r="Q29" s="43"/>
    </row>
    <row r="30" spans="1:17" ht="17.5" customHeight="1" x14ac:dyDescent="0.2">
      <c r="A30" s="33">
        <v>28</v>
      </c>
      <c r="B30" s="11" t="s">
        <v>447</v>
      </c>
      <c r="C30" s="11" t="s">
        <v>448</v>
      </c>
      <c r="D30" s="11"/>
      <c r="E30" s="11" t="s">
        <v>29</v>
      </c>
      <c r="F30" s="12">
        <v>45838</v>
      </c>
      <c r="G30" s="22">
        <v>7470</v>
      </c>
      <c r="H30" s="20">
        <v>39024</v>
      </c>
      <c r="I30" s="11" t="str">
        <f t="shared" ca="1" si="0"/>
        <v>19 años 4 meses</v>
      </c>
      <c r="J30" s="8">
        <f ca="1">F30-'Sub16'!$K$1</f>
        <v>-266</v>
      </c>
      <c r="K30" s="11">
        <f t="shared" ca="1" si="1"/>
        <v>-266</v>
      </c>
      <c r="L30">
        <f ca="1">'Sub16'!$K$1-H30</f>
        <v>7080</v>
      </c>
      <c r="M30">
        <f t="shared" ca="1" si="2"/>
        <v>19.397260273972602</v>
      </c>
      <c r="N30">
        <f t="shared" ca="1" si="3"/>
        <v>19</v>
      </c>
      <c r="O30">
        <f t="shared" ca="1" si="4"/>
        <v>145</v>
      </c>
      <c r="P30">
        <f t="shared" ca="1" si="5"/>
        <v>4</v>
      </c>
      <c r="Q30" s="44"/>
    </row>
    <row r="31" spans="1:17" ht="17.5" customHeight="1" x14ac:dyDescent="0.2">
      <c r="A31" s="33">
        <v>29</v>
      </c>
      <c r="B31" s="11" t="s">
        <v>247</v>
      </c>
      <c r="C31" s="11" t="s">
        <v>248</v>
      </c>
      <c r="D31" s="11"/>
      <c r="E31" s="11" t="s">
        <v>29</v>
      </c>
      <c r="F31" s="12">
        <v>45838</v>
      </c>
      <c r="G31" s="22">
        <v>7470</v>
      </c>
      <c r="H31" s="20">
        <v>38810</v>
      </c>
      <c r="I31" s="11" t="str">
        <f t="shared" ca="1" si="0"/>
        <v>19 años 11 meses</v>
      </c>
      <c r="J31" s="8">
        <f ca="1">F31-'Sub16'!$K$1</f>
        <v>-266</v>
      </c>
      <c r="K31" s="11">
        <f t="shared" ca="1" si="1"/>
        <v>-266</v>
      </c>
      <c r="L31">
        <f ca="1">'Sub16'!$K$1-H31</f>
        <v>7294</v>
      </c>
      <c r="M31">
        <f t="shared" ca="1" si="2"/>
        <v>19.983561643835618</v>
      </c>
      <c r="N31">
        <f t="shared" ca="1" si="3"/>
        <v>19</v>
      </c>
      <c r="O31">
        <f t="shared" ca="1" si="4"/>
        <v>359</v>
      </c>
      <c r="P31">
        <f t="shared" ca="1" si="5"/>
        <v>11</v>
      </c>
      <c r="Q31" s="44"/>
    </row>
  </sheetData>
  <sheetProtection algorithmName="SHA-512" hashValue="S7p1GiaZJWWewcYc7Peta0tjPDj8faU2tjXNs+j6cwIr4W0OtECgSZoYqJ21vQH8vv+RhFZjH1j786WuG32Lmg==" saltValue="XRPbElUuMvL3WfqHpFu7qw==" spinCount="100000" sheet="1" sort="0" autoFilter="0"/>
  <sortState xmlns:xlrd2="http://schemas.microsoft.com/office/spreadsheetml/2017/richdata2" ref="A3:Q31">
    <sortCondition ref="C3:C31"/>
  </sortState>
  <mergeCells count="1">
    <mergeCell ref="A1:J1"/>
  </mergeCells>
  <phoneticPr fontId="12" type="noConversion"/>
  <conditionalFormatting sqref="E2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21 F25 F27:F31">
    <cfRule type="containsText" dxfId="5" priority="10" operator="containsText" text="Clausura 2018">
      <formula>NOT(ISERROR(SEARCH("Clausura 2018",F3)))</formula>
    </cfRule>
  </conditionalFormatting>
  <conditionalFormatting sqref="G2:I2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6">
    <cfRule type="iconSet" priority="821">
      <iconSet iconSet="3Symbols" showValue="0">
        <cfvo type="percent" val="0"/>
        <cfvo type="num" val="365"/>
        <cfvo type="num" val="547"/>
      </iconSet>
    </cfRule>
  </conditionalFormatting>
  <conditionalFormatting sqref="J12:J13">
    <cfRule type="iconSet" priority="6">
      <iconSet iconSet="3Symbols" showValue="0">
        <cfvo type="percent" val="0"/>
        <cfvo type="num" val="365"/>
        <cfvo type="num" val="547"/>
      </iconSet>
    </cfRule>
  </conditionalFormatting>
  <conditionalFormatting sqref="J14">
    <cfRule type="iconSet" priority="4">
      <iconSet iconSet="3Symbols" showValue="0">
        <cfvo type="percent" val="0"/>
        <cfvo type="num" val="365"/>
        <cfvo type="num" val="547"/>
      </iconSet>
    </cfRule>
  </conditionalFormatting>
  <conditionalFormatting sqref="J15">
    <cfRule type="iconSet" priority="2">
      <iconSet iconSet="3Symbols" showValue="0">
        <cfvo type="percent" val="0"/>
        <cfvo type="num" val="365"/>
        <cfvo type="num" val="547"/>
      </iconSet>
    </cfRule>
  </conditionalFormatting>
  <conditionalFormatting sqref="J16:J17">
    <cfRule type="iconSet" priority="532">
      <iconSet iconSet="3Symbols" showValue="0">
        <cfvo type="percent" val="0"/>
        <cfvo type="num" val="365"/>
        <cfvo type="num" val="547"/>
      </iconSet>
    </cfRule>
  </conditionalFormatting>
  <conditionalFormatting sqref="J18 J7:J11">
    <cfRule type="iconSet" priority="496">
      <iconSet iconSet="3Symbols" showValue="0">
        <cfvo type="percent" val="0"/>
        <cfvo type="num" val="365"/>
        <cfvo type="num" val="547"/>
      </iconSet>
    </cfRule>
  </conditionalFormatting>
  <conditionalFormatting sqref="J19:J21">
    <cfRule type="iconSet" priority="66">
      <iconSet iconSet="3Symbols" showValue="0">
        <cfvo type="percent" val="0"/>
        <cfvo type="num" val="365"/>
        <cfvo type="num" val="547"/>
      </iconSet>
    </cfRule>
  </conditionalFormatting>
  <conditionalFormatting sqref="J22">
    <cfRule type="iconSet" priority="7">
      <iconSet iconSet="3Symbols" showValue="0">
        <cfvo type="percent" val="0"/>
        <cfvo type="num" val="365"/>
        <cfvo type="num" val="547"/>
      </iconSet>
    </cfRule>
  </conditionalFormatting>
  <conditionalFormatting sqref="J23:J24">
    <cfRule type="iconSet" priority="8">
      <iconSet iconSet="3Symbols" showValue="0">
        <cfvo type="percent" val="0"/>
        <cfvo type="num" val="365"/>
        <cfvo type="num" val="547"/>
      </iconSet>
    </cfRule>
  </conditionalFormatting>
  <conditionalFormatting sqref="J25 J27:J31">
    <cfRule type="iconSet" priority="716">
      <iconSet iconSet="3Symbols" showValue="0">
        <cfvo type="percent" val="0"/>
        <cfvo type="num" val="365"/>
        <cfvo type="num" val="547"/>
      </iconSet>
    </cfRule>
  </conditionalFormatting>
  <conditionalFormatting sqref="J26">
    <cfRule type="iconSet" priority="9">
      <iconSet iconSet="3Symbols" showValue="0">
        <cfvo type="percent" val="0"/>
        <cfvo type="num" val="365"/>
        <cfvo type="num" val="547"/>
      </iconSet>
    </cfRule>
  </conditionalFormatting>
  <conditionalFormatting sqref="K2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B618-4AA8-44B0-A2DA-8BC3D82A18CA}">
  <sheetPr codeName="Hoja5"/>
  <dimension ref="A1:Q40"/>
  <sheetViews>
    <sheetView showGridLines="0" zoomScale="80" zoomScaleNormal="80" workbookViewId="0">
      <pane ySplit="2" topLeftCell="A3" activePane="bottomLeft" state="frozen"/>
      <selection pane="bottomLeft" activeCell="C18" sqref="C18"/>
    </sheetView>
  </sheetViews>
  <sheetFormatPr baseColWidth="10" defaultRowHeight="17" x14ac:dyDescent="0.2"/>
  <cols>
    <col min="1" max="1" width="3.83203125" style="3" bestFit="1" customWidth="1"/>
    <col min="2" max="2" width="15.5" bestFit="1" customWidth="1"/>
    <col min="3" max="3" width="20.83203125" customWidth="1"/>
    <col min="4" max="4" width="0.33203125" hidden="1" customWidth="1"/>
    <col min="5" max="5" width="13.6640625" style="21" customWidth="1"/>
    <col min="6" max="6" width="12.1640625" style="18" hidden="1" customWidth="1"/>
    <col min="7" max="8" width="11.5" customWidth="1"/>
    <col min="9" max="9" width="12.5" bestFit="1" customWidth="1"/>
    <col min="10" max="10" width="12" style="7" bestFit="1" customWidth="1"/>
    <col min="11" max="11" width="13" customWidth="1"/>
    <col min="12" max="12" width="5.1640625" hidden="1" customWidth="1"/>
    <col min="13" max="13" width="11" hidden="1" customWidth="1"/>
    <col min="14" max="14" width="3.6640625" hidden="1" customWidth="1"/>
    <col min="15" max="16" width="3.1640625" hidden="1" customWidth="1"/>
    <col min="17" max="17" width="10.83203125" style="48"/>
    <col min="18" max="18" width="33.1640625" bestFit="1" customWidth="1"/>
  </cols>
  <sheetData>
    <row r="1" spans="1:17" ht="68.25" customHeight="1" x14ac:dyDescent="0.2">
      <c r="A1" s="72" t="s">
        <v>174</v>
      </c>
      <c r="B1" s="72"/>
      <c r="C1" s="72"/>
      <c r="D1" s="72"/>
      <c r="E1" s="72"/>
      <c r="F1" s="72"/>
      <c r="G1" s="72"/>
      <c r="H1" s="72"/>
      <c r="I1" s="72"/>
      <c r="J1" s="72"/>
      <c r="K1" s="13">
        <f ca="1">TODAY()</f>
        <v>46104</v>
      </c>
    </row>
    <row r="2" spans="1:17" ht="26" x14ac:dyDescent="0.2">
      <c r="A2" s="31" t="s">
        <v>18</v>
      </c>
      <c r="B2" s="31" t="s">
        <v>9</v>
      </c>
      <c r="C2" s="31" t="s">
        <v>10</v>
      </c>
      <c r="D2" s="32" t="s">
        <v>85</v>
      </c>
      <c r="E2" s="32" t="s">
        <v>11</v>
      </c>
      <c r="F2" s="33"/>
      <c r="G2" s="34" t="s">
        <v>66</v>
      </c>
      <c r="H2" s="34" t="s">
        <v>84</v>
      </c>
      <c r="I2" s="34" t="s">
        <v>86</v>
      </c>
      <c r="J2" s="31" t="s">
        <v>17</v>
      </c>
      <c r="K2" s="35" t="s">
        <v>12</v>
      </c>
    </row>
    <row r="3" spans="1:17" x14ac:dyDescent="0.2">
      <c r="A3" s="33">
        <v>1</v>
      </c>
      <c r="B3" s="11" t="s">
        <v>385</v>
      </c>
      <c r="C3" s="11" t="s">
        <v>386</v>
      </c>
      <c r="D3" s="11"/>
      <c r="E3" s="11" t="s">
        <v>29</v>
      </c>
      <c r="F3" s="12">
        <v>45838</v>
      </c>
      <c r="G3" s="19">
        <v>0</v>
      </c>
      <c r="H3" s="20">
        <v>39247</v>
      </c>
      <c r="I3" s="11" t="str">
        <f t="shared" ref="I3:I40" ca="1" si="0">_xlfn.FLOOR.MATH(M3)&amp;" años "&amp;P3&amp;" meses"</f>
        <v>18 años 9 meses</v>
      </c>
      <c r="J3" s="8">
        <f ca="1">F3-$K$1</f>
        <v>-266</v>
      </c>
      <c r="K3" s="11">
        <f t="shared" ref="K3:K40" ca="1" si="1">J3</f>
        <v>-266</v>
      </c>
      <c r="L3">
        <f ca="1">$K$1-H3</f>
        <v>6857</v>
      </c>
      <c r="M3">
        <f t="shared" ref="M3:M40" ca="1" si="2">L3/365</f>
        <v>18.786301369863015</v>
      </c>
      <c r="N3">
        <f t="shared" ref="N3:N40" ca="1" si="3">_xlfn.FLOOR.MATH(M3)</f>
        <v>18</v>
      </c>
      <c r="O3">
        <f t="shared" ref="O3:O40" ca="1" si="4">L3-(N3*365)</f>
        <v>287</v>
      </c>
      <c r="P3">
        <f t="shared" ref="P3:P40" ca="1" si="5">_xlfn.FLOOR.MATH(O3/30)</f>
        <v>9</v>
      </c>
    </row>
    <row r="4" spans="1:17" x14ac:dyDescent="0.2">
      <c r="A4" s="33">
        <v>2</v>
      </c>
      <c r="B4" s="1" t="s">
        <v>177</v>
      </c>
      <c r="C4" s="11" t="s">
        <v>206</v>
      </c>
      <c r="D4" s="11"/>
      <c r="E4" s="11" t="s">
        <v>29</v>
      </c>
      <c r="F4" s="12">
        <v>45838</v>
      </c>
      <c r="G4" s="19">
        <v>0</v>
      </c>
      <c r="H4" s="17">
        <v>39235</v>
      </c>
      <c r="I4" s="11" t="str">
        <f t="shared" ca="1" si="0"/>
        <v>18 años 9 meses</v>
      </c>
      <c r="J4" s="8">
        <f ca="1">F4-'Sub14'!$K$1</f>
        <v>-266</v>
      </c>
      <c r="K4" s="11">
        <f t="shared" ca="1" si="1"/>
        <v>-266</v>
      </c>
      <c r="L4">
        <f ca="1">'Sub14'!$K$1-H4</f>
        <v>6869</v>
      </c>
      <c r="M4">
        <f t="shared" ca="1" si="2"/>
        <v>18.81917808219178</v>
      </c>
      <c r="N4">
        <f t="shared" ca="1" si="3"/>
        <v>18</v>
      </c>
      <c r="O4">
        <f t="shared" ca="1" si="4"/>
        <v>299</v>
      </c>
      <c r="P4">
        <f t="shared" ca="1" si="5"/>
        <v>9</v>
      </c>
    </row>
    <row r="5" spans="1:17" x14ac:dyDescent="0.2">
      <c r="A5" s="33">
        <v>3</v>
      </c>
      <c r="B5" s="1" t="s">
        <v>457</v>
      </c>
      <c r="C5" s="11" t="s">
        <v>458</v>
      </c>
      <c r="D5" s="11"/>
      <c r="E5" s="11" t="s">
        <v>29</v>
      </c>
      <c r="F5" s="12">
        <v>45838</v>
      </c>
      <c r="G5" s="19">
        <v>0</v>
      </c>
      <c r="H5" s="17">
        <v>39346</v>
      </c>
      <c r="I5" s="11" t="str">
        <f t="shared" ca="1" si="0"/>
        <v>18 años 6 meses</v>
      </c>
      <c r="J5" s="8">
        <f ca="1">F5-'Sub14'!$K$1</f>
        <v>-266</v>
      </c>
      <c r="K5" s="11">
        <f t="shared" ca="1" si="1"/>
        <v>-266</v>
      </c>
      <c r="L5">
        <f ca="1">'Sub14'!$K$1-H5</f>
        <v>6758</v>
      </c>
      <c r="M5">
        <f t="shared" ca="1" si="2"/>
        <v>18.515068493150686</v>
      </c>
      <c r="N5">
        <f t="shared" ca="1" si="3"/>
        <v>18</v>
      </c>
      <c r="O5">
        <f t="shared" ca="1" si="4"/>
        <v>188</v>
      </c>
      <c r="P5">
        <f t="shared" ca="1" si="5"/>
        <v>6</v>
      </c>
    </row>
    <row r="6" spans="1:17" x14ac:dyDescent="0.2">
      <c r="A6" s="33">
        <v>4</v>
      </c>
      <c r="B6" s="1" t="s">
        <v>395</v>
      </c>
      <c r="C6" s="11" t="s">
        <v>396</v>
      </c>
      <c r="D6" s="11"/>
      <c r="E6" s="11" t="s">
        <v>29</v>
      </c>
      <c r="F6" s="12">
        <v>45838</v>
      </c>
      <c r="G6" s="19">
        <v>0</v>
      </c>
      <c r="H6" s="17">
        <v>39145</v>
      </c>
      <c r="I6" s="11" t="str">
        <f t="shared" ca="1" si="0"/>
        <v>19 años 0 meses</v>
      </c>
      <c r="J6" s="8">
        <f ca="1">F6-'Sub14'!$K$1</f>
        <v>-266</v>
      </c>
      <c r="K6" s="11">
        <f t="shared" ca="1" si="1"/>
        <v>-266</v>
      </c>
      <c r="L6">
        <f ca="1">'Sub14'!$K$1-H6</f>
        <v>6959</v>
      </c>
      <c r="M6">
        <f t="shared" ca="1" si="2"/>
        <v>19.065753424657533</v>
      </c>
      <c r="N6">
        <f t="shared" ca="1" si="3"/>
        <v>19</v>
      </c>
      <c r="O6">
        <f t="shared" ca="1" si="4"/>
        <v>24</v>
      </c>
      <c r="P6">
        <f t="shared" ca="1" si="5"/>
        <v>0</v>
      </c>
    </row>
    <row r="7" spans="1:17" x14ac:dyDescent="0.2">
      <c r="A7" s="33">
        <v>5</v>
      </c>
      <c r="B7" s="1" t="s">
        <v>254</v>
      </c>
      <c r="C7" s="11" t="s">
        <v>255</v>
      </c>
      <c r="D7" s="11"/>
      <c r="E7" s="11" t="s">
        <v>29</v>
      </c>
      <c r="F7" s="12">
        <v>45838</v>
      </c>
      <c r="G7" s="19">
        <v>0</v>
      </c>
      <c r="H7" s="17">
        <v>39501</v>
      </c>
      <c r="I7" s="11" t="str">
        <f t="shared" ca="1" si="0"/>
        <v>18 años 1 meses</v>
      </c>
      <c r="J7" s="8">
        <f ca="1">F7-'Sub14'!$K$1</f>
        <v>-266</v>
      </c>
      <c r="K7" s="11">
        <f t="shared" ca="1" si="1"/>
        <v>-266</v>
      </c>
      <c r="L7">
        <f ca="1">'Sub14'!$K$1-H7</f>
        <v>6603</v>
      </c>
      <c r="M7">
        <f t="shared" ca="1" si="2"/>
        <v>18.090410958904108</v>
      </c>
      <c r="N7">
        <f t="shared" ca="1" si="3"/>
        <v>18</v>
      </c>
      <c r="O7">
        <f t="shared" ca="1" si="4"/>
        <v>33</v>
      </c>
      <c r="P7">
        <f t="shared" ca="1" si="5"/>
        <v>1</v>
      </c>
    </row>
    <row r="8" spans="1:17" x14ac:dyDescent="0.2">
      <c r="A8" s="33">
        <v>6</v>
      </c>
      <c r="B8" s="1" t="s">
        <v>185</v>
      </c>
      <c r="C8" s="11" t="s">
        <v>186</v>
      </c>
      <c r="D8" s="11"/>
      <c r="E8" s="11" t="s">
        <v>29</v>
      </c>
      <c r="F8" s="12">
        <v>45838</v>
      </c>
      <c r="G8" s="22">
        <v>0</v>
      </c>
      <c r="H8" s="17">
        <v>39095</v>
      </c>
      <c r="I8" s="11" t="str">
        <f t="shared" ca="1" si="0"/>
        <v>19 años 2 meses</v>
      </c>
      <c r="J8" s="8">
        <f ca="1">F8-'Sub14'!$K$1</f>
        <v>-266</v>
      </c>
      <c r="K8" s="11">
        <f t="shared" ca="1" si="1"/>
        <v>-266</v>
      </c>
      <c r="L8">
        <f ca="1">'Sub14'!$K$1-H8</f>
        <v>7009</v>
      </c>
      <c r="M8">
        <f t="shared" ca="1" si="2"/>
        <v>19.202739726027396</v>
      </c>
      <c r="N8">
        <f t="shared" ca="1" si="3"/>
        <v>19</v>
      </c>
      <c r="O8">
        <f t="shared" ca="1" si="4"/>
        <v>74</v>
      </c>
      <c r="P8">
        <f t="shared" ca="1" si="5"/>
        <v>2</v>
      </c>
    </row>
    <row r="9" spans="1:17" x14ac:dyDescent="0.2">
      <c r="A9" s="33">
        <v>7</v>
      </c>
      <c r="B9" s="11" t="s">
        <v>223</v>
      </c>
      <c r="C9" s="11" t="s">
        <v>224</v>
      </c>
      <c r="D9" s="11"/>
      <c r="E9" s="11" t="s">
        <v>30</v>
      </c>
      <c r="F9" s="12">
        <v>46022</v>
      </c>
      <c r="G9" s="22">
        <v>0</v>
      </c>
      <c r="H9" s="17">
        <v>39770</v>
      </c>
      <c r="I9" s="11" t="str">
        <f t="shared" ca="1" si="0"/>
        <v>17 años 4 meses</v>
      </c>
      <c r="J9" s="8">
        <f ca="1">F9-'Sub14'!$K$1</f>
        <v>-82</v>
      </c>
      <c r="K9" s="11">
        <f t="shared" ca="1" si="1"/>
        <v>-82</v>
      </c>
      <c r="L9">
        <f ca="1">'Sub14'!$K$1-H9</f>
        <v>6334</v>
      </c>
      <c r="M9">
        <f t="shared" ca="1" si="2"/>
        <v>17.353424657534248</v>
      </c>
      <c r="N9">
        <f t="shared" ca="1" si="3"/>
        <v>17</v>
      </c>
      <c r="O9">
        <f t="shared" ca="1" si="4"/>
        <v>129</v>
      </c>
      <c r="P9">
        <f t="shared" ca="1" si="5"/>
        <v>4</v>
      </c>
      <c r="Q9" s="59" t="s">
        <v>459</v>
      </c>
    </row>
    <row r="10" spans="1:17" x14ac:dyDescent="0.2">
      <c r="A10" s="33">
        <v>8</v>
      </c>
      <c r="B10" s="1" t="s">
        <v>391</v>
      </c>
      <c r="C10" s="11" t="s">
        <v>392</v>
      </c>
      <c r="D10" s="11"/>
      <c r="E10" s="11" t="s">
        <v>29</v>
      </c>
      <c r="F10" s="12">
        <v>45838</v>
      </c>
      <c r="G10" s="19">
        <v>0</v>
      </c>
      <c r="H10" s="17">
        <v>39302</v>
      </c>
      <c r="I10" s="11" t="str">
        <f t="shared" ca="1" si="0"/>
        <v>18 años 7 meses</v>
      </c>
      <c r="J10" s="8">
        <f ca="1">F10-'Sub14'!$K$1</f>
        <v>-266</v>
      </c>
      <c r="K10" s="11">
        <f t="shared" ca="1" si="1"/>
        <v>-266</v>
      </c>
      <c r="L10">
        <f ca="1">'Sub14'!$K$1-H10</f>
        <v>6802</v>
      </c>
      <c r="M10">
        <f t="shared" ca="1" si="2"/>
        <v>18.635616438356163</v>
      </c>
      <c r="N10">
        <f t="shared" ca="1" si="3"/>
        <v>18</v>
      </c>
      <c r="O10">
        <f t="shared" ca="1" si="4"/>
        <v>232</v>
      </c>
      <c r="P10">
        <f t="shared" ca="1" si="5"/>
        <v>7</v>
      </c>
    </row>
    <row r="11" spans="1:17" x14ac:dyDescent="0.2">
      <c r="A11" s="33">
        <v>9</v>
      </c>
      <c r="B11" s="1" t="s">
        <v>454</v>
      </c>
      <c r="C11" s="11" t="s">
        <v>455</v>
      </c>
      <c r="D11" s="11"/>
      <c r="E11" s="11" t="s">
        <v>29</v>
      </c>
      <c r="F11" s="12">
        <v>45838</v>
      </c>
      <c r="G11" s="19">
        <v>0</v>
      </c>
      <c r="H11" s="17">
        <v>39462</v>
      </c>
      <c r="I11" s="11" t="str">
        <f t="shared" ca="1" si="0"/>
        <v>18 años 2 meses</v>
      </c>
      <c r="J11" s="8">
        <f ca="1">F11-'Sub14'!$K$1</f>
        <v>-266</v>
      </c>
      <c r="K11" s="11">
        <f t="shared" ca="1" si="1"/>
        <v>-266</v>
      </c>
      <c r="L11">
        <f ca="1">'Sub14'!$K$1-H11</f>
        <v>6642</v>
      </c>
      <c r="M11" s="21">
        <f t="shared" ca="1" si="2"/>
        <v>18.197260273972603</v>
      </c>
      <c r="N11" s="21">
        <f t="shared" ca="1" si="3"/>
        <v>18</v>
      </c>
      <c r="O11" s="21">
        <f t="shared" ca="1" si="4"/>
        <v>72</v>
      </c>
      <c r="P11" s="21">
        <f t="shared" ca="1" si="5"/>
        <v>2</v>
      </c>
      <c r="Q11" s="44"/>
    </row>
    <row r="12" spans="1:17" x14ac:dyDescent="0.2">
      <c r="A12" s="33">
        <v>10</v>
      </c>
      <c r="B12" s="1" t="s">
        <v>399</v>
      </c>
      <c r="C12" s="11" t="s">
        <v>400</v>
      </c>
      <c r="D12" s="11"/>
      <c r="E12" s="11" t="s">
        <v>29</v>
      </c>
      <c r="F12" s="12">
        <v>45838</v>
      </c>
      <c r="G12" s="19">
        <v>0</v>
      </c>
      <c r="H12" s="17">
        <v>39137</v>
      </c>
      <c r="I12" s="11" t="str">
        <f t="shared" ca="1" si="0"/>
        <v>19 años 1 meses</v>
      </c>
      <c r="J12" s="8">
        <f ca="1">F12-'Sub14'!$K$1</f>
        <v>-266</v>
      </c>
      <c r="K12" s="11">
        <f t="shared" ca="1" si="1"/>
        <v>-266</v>
      </c>
      <c r="L12">
        <f ca="1">'Sub14'!$K$1-H12</f>
        <v>6967</v>
      </c>
      <c r="M12">
        <f t="shared" ca="1" si="2"/>
        <v>19.087671232876712</v>
      </c>
      <c r="N12">
        <f t="shared" ca="1" si="3"/>
        <v>19</v>
      </c>
      <c r="O12">
        <f t="shared" ca="1" si="4"/>
        <v>32</v>
      </c>
      <c r="P12">
        <f t="shared" ca="1" si="5"/>
        <v>1</v>
      </c>
    </row>
    <row r="13" spans="1:17" x14ac:dyDescent="0.2">
      <c r="A13" s="33">
        <v>11</v>
      </c>
      <c r="B13" s="1" t="s">
        <v>278</v>
      </c>
      <c r="C13" s="11" t="s">
        <v>279</v>
      </c>
      <c r="D13" s="11"/>
      <c r="E13" s="11" t="s">
        <v>29</v>
      </c>
      <c r="F13" s="12">
        <v>45838</v>
      </c>
      <c r="G13" s="19">
        <v>0</v>
      </c>
      <c r="H13" s="17">
        <v>39746</v>
      </c>
      <c r="I13" s="11" t="str">
        <f t="shared" ca="1" si="0"/>
        <v>17 años 5 meses</v>
      </c>
      <c r="J13" s="8">
        <f ca="1">F13-'Sub14'!$K$1</f>
        <v>-266</v>
      </c>
      <c r="K13" s="11">
        <f t="shared" ca="1" si="1"/>
        <v>-266</v>
      </c>
      <c r="L13">
        <f ca="1">'Sub14'!$K$1-H13</f>
        <v>6358</v>
      </c>
      <c r="M13">
        <f t="shared" ca="1" si="2"/>
        <v>17.419178082191781</v>
      </c>
      <c r="N13">
        <f t="shared" ca="1" si="3"/>
        <v>17</v>
      </c>
      <c r="O13">
        <f t="shared" ca="1" si="4"/>
        <v>153</v>
      </c>
      <c r="P13">
        <f t="shared" ca="1" si="5"/>
        <v>5</v>
      </c>
    </row>
    <row r="14" spans="1:17" x14ac:dyDescent="0.2">
      <c r="A14" s="33">
        <v>12</v>
      </c>
      <c r="B14" s="1" t="s">
        <v>383</v>
      </c>
      <c r="C14" s="11" t="s">
        <v>384</v>
      </c>
      <c r="D14" s="11"/>
      <c r="E14" s="11" t="s">
        <v>29</v>
      </c>
      <c r="F14" s="12">
        <v>45838</v>
      </c>
      <c r="G14" s="19">
        <v>0</v>
      </c>
      <c r="H14" s="17">
        <v>39171</v>
      </c>
      <c r="I14" s="11" t="str">
        <f t="shared" ca="1" si="0"/>
        <v>18 años 12 meses</v>
      </c>
      <c r="J14" s="8">
        <f ca="1">F14-'Sub14'!$K$1</f>
        <v>-266</v>
      </c>
      <c r="K14" s="11">
        <f t="shared" ca="1" si="1"/>
        <v>-266</v>
      </c>
      <c r="L14">
        <f ca="1">'Sub14'!$K$1-H14</f>
        <v>6933</v>
      </c>
      <c r="M14" s="21">
        <f t="shared" ca="1" si="2"/>
        <v>18.994520547945207</v>
      </c>
      <c r="N14" s="21">
        <f t="shared" ca="1" si="3"/>
        <v>18</v>
      </c>
      <c r="O14" s="21">
        <f t="shared" ca="1" si="4"/>
        <v>363</v>
      </c>
      <c r="P14" s="21">
        <f t="shared" ca="1" si="5"/>
        <v>12</v>
      </c>
      <c r="Q14" s="44"/>
    </row>
    <row r="15" spans="1:17" x14ac:dyDescent="0.2">
      <c r="A15" s="33">
        <v>13</v>
      </c>
      <c r="B15" s="1" t="s">
        <v>319</v>
      </c>
      <c r="C15" s="11" t="s">
        <v>321</v>
      </c>
      <c r="D15" s="11"/>
      <c r="E15" s="11" t="s">
        <v>28</v>
      </c>
      <c r="F15" s="12">
        <v>45657</v>
      </c>
      <c r="G15" s="19">
        <v>0</v>
      </c>
      <c r="H15" s="17">
        <v>39754</v>
      </c>
      <c r="I15" s="11" t="str">
        <f t="shared" ca="1" si="0"/>
        <v>17 años 4 meses</v>
      </c>
      <c r="J15" s="8">
        <f ca="1">F15-'Sub14'!$K$1</f>
        <v>-447</v>
      </c>
      <c r="K15" s="11">
        <f t="shared" ca="1" si="1"/>
        <v>-447</v>
      </c>
      <c r="L15">
        <f ca="1">'Sub14'!$K$1-H15</f>
        <v>6350</v>
      </c>
      <c r="M15">
        <f t="shared" ca="1" si="2"/>
        <v>17.397260273972602</v>
      </c>
      <c r="N15">
        <f t="shared" ca="1" si="3"/>
        <v>17</v>
      </c>
      <c r="O15">
        <f t="shared" ca="1" si="4"/>
        <v>145</v>
      </c>
      <c r="P15">
        <f t="shared" ca="1" si="5"/>
        <v>4</v>
      </c>
    </row>
    <row r="16" spans="1:17" x14ac:dyDescent="0.2">
      <c r="A16" s="33">
        <v>14</v>
      </c>
      <c r="B16" s="1" t="s">
        <v>217</v>
      </c>
      <c r="C16" s="11" t="s">
        <v>218</v>
      </c>
      <c r="D16" s="11"/>
      <c r="E16" s="11" t="s">
        <v>29</v>
      </c>
      <c r="F16" s="12">
        <v>45838</v>
      </c>
      <c r="G16" s="19">
        <v>0</v>
      </c>
      <c r="H16" s="17">
        <v>39126</v>
      </c>
      <c r="I16" s="11" t="str">
        <f t="shared" ca="1" si="0"/>
        <v>19 años 1 meses</v>
      </c>
      <c r="J16" s="8">
        <f ca="1">F16-'Sub14'!$K$1</f>
        <v>-266</v>
      </c>
      <c r="K16" s="11">
        <f t="shared" ca="1" si="1"/>
        <v>-266</v>
      </c>
      <c r="L16">
        <f ca="1">'Sub14'!$K$1-H16</f>
        <v>6978</v>
      </c>
      <c r="M16">
        <f t="shared" ca="1" si="2"/>
        <v>19.117808219178084</v>
      </c>
      <c r="N16">
        <f t="shared" ca="1" si="3"/>
        <v>19</v>
      </c>
      <c r="O16">
        <f t="shared" ca="1" si="4"/>
        <v>43</v>
      </c>
      <c r="P16">
        <f t="shared" ca="1" si="5"/>
        <v>1</v>
      </c>
    </row>
    <row r="17" spans="1:17" x14ac:dyDescent="0.2">
      <c r="A17" s="33">
        <v>15</v>
      </c>
      <c r="B17" s="1" t="s">
        <v>176</v>
      </c>
      <c r="C17" s="11" t="s">
        <v>205</v>
      </c>
      <c r="D17" s="11"/>
      <c r="E17" s="11" t="s">
        <v>29</v>
      </c>
      <c r="F17" s="12">
        <v>45838</v>
      </c>
      <c r="G17" s="19">
        <v>0</v>
      </c>
      <c r="H17" s="17">
        <v>39198</v>
      </c>
      <c r="I17" s="11" t="str">
        <f t="shared" ca="1" si="0"/>
        <v>18 años 11 meses</v>
      </c>
      <c r="J17" s="8">
        <f ca="1">F17-'Sub14'!$K$1</f>
        <v>-266</v>
      </c>
      <c r="K17" s="11">
        <f t="shared" ca="1" si="1"/>
        <v>-266</v>
      </c>
      <c r="L17">
        <f ca="1">'Sub14'!$K$1-H17</f>
        <v>6906</v>
      </c>
      <c r="M17">
        <f t="shared" ca="1" si="2"/>
        <v>18.920547945205481</v>
      </c>
      <c r="N17">
        <f t="shared" ca="1" si="3"/>
        <v>18</v>
      </c>
      <c r="O17">
        <f t="shared" ca="1" si="4"/>
        <v>336</v>
      </c>
      <c r="P17">
        <f t="shared" ca="1" si="5"/>
        <v>11</v>
      </c>
    </row>
    <row r="18" spans="1:17" x14ac:dyDescent="0.2">
      <c r="A18" s="33">
        <v>16</v>
      </c>
      <c r="B18" s="1" t="s">
        <v>284</v>
      </c>
      <c r="C18" s="11" t="s">
        <v>285</v>
      </c>
      <c r="D18" s="11"/>
      <c r="E18" s="11" t="s">
        <v>31</v>
      </c>
      <c r="F18" s="12">
        <v>46203</v>
      </c>
      <c r="G18" s="19">
        <v>0</v>
      </c>
      <c r="H18" s="17">
        <v>39802</v>
      </c>
      <c r="I18" s="11" t="str">
        <f t="shared" ca="1" si="0"/>
        <v>17 años 3 meses</v>
      </c>
      <c r="J18" s="8">
        <f ca="1">F18-'Sub14'!$K$1</f>
        <v>99</v>
      </c>
      <c r="K18" s="11">
        <f t="shared" ca="1" si="1"/>
        <v>99</v>
      </c>
      <c r="L18">
        <f ca="1">'Sub14'!$K$1-H18</f>
        <v>6302</v>
      </c>
      <c r="M18">
        <f t="shared" ca="1" si="2"/>
        <v>17.265753424657536</v>
      </c>
      <c r="N18">
        <f t="shared" ca="1" si="3"/>
        <v>17</v>
      </c>
      <c r="O18">
        <f t="shared" ca="1" si="4"/>
        <v>97</v>
      </c>
      <c r="P18">
        <f t="shared" ca="1" si="5"/>
        <v>3</v>
      </c>
    </row>
    <row r="19" spans="1:17" x14ac:dyDescent="0.2">
      <c r="A19" s="33">
        <v>17</v>
      </c>
      <c r="B19" s="11" t="s">
        <v>219</v>
      </c>
      <c r="C19" s="11" t="s">
        <v>220</v>
      </c>
      <c r="D19" s="11"/>
      <c r="E19" s="11" t="s">
        <v>30</v>
      </c>
      <c r="F19" s="12">
        <v>46022</v>
      </c>
      <c r="G19" s="22">
        <v>0</v>
      </c>
      <c r="H19" s="17">
        <v>39515</v>
      </c>
      <c r="I19" s="11" t="str">
        <f t="shared" ca="1" si="0"/>
        <v>18 años 0 meses</v>
      </c>
      <c r="J19" s="8">
        <f ca="1">F19-'Sub14'!$K$1</f>
        <v>-82</v>
      </c>
      <c r="K19" s="11">
        <f t="shared" ca="1" si="1"/>
        <v>-82</v>
      </c>
      <c r="L19">
        <f ca="1">'Sub14'!$K$1-H19</f>
        <v>6589</v>
      </c>
      <c r="M19">
        <f t="shared" ca="1" si="2"/>
        <v>18.052054794520547</v>
      </c>
      <c r="N19">
        <f t="shared" ca="1" si="3"/>
        <v>18</v>
      </c>
      <c r="O19">
        <f t="shared" ca="1" si="4"/>
        <v>19</v>
      </c>
      <c r="P19">
        <f t="shared" ca="1" si="5"/>
        <v>0</v>
      </c>
    </row>
    <row r="20" spans="1:17" x14ac:dyDescent="0.2">
      <c r="A20" s="33">
        <v>18</v>
      </c>
      <c r="B20" s="1" t="s">
        <v>258</v>
      </c>
      <c r="C20" s="11" t="s">
        <v>294</v>
      </c>
      <c r="D20" s="11"/>
      <c r="E20" s="11" t="s">
        <v>29</v>
      </c>
      <c r="F20" s="12">
        <v>45838</v>
      </c>
      <c r="G20" s="19">
        <v>0</v>
      </c>
      <c r="H20" s="17">
        <v>39506</v>
      </c>
      <c r="I20" s="11" t="str">
        <f t="shared" ca="1" si="0"/>
        <v>18 años 0 meses</v>
      </c>
      <c r="J20" s="8">
        <f ca="1">F20-'Sub14'!$K$1</f>
        <v>-266</v>
      </c>
      <c r="K20" s="11">
        <f t="shared" ca="1" si="1"/>
        <v>-266</v>
      </c>
      <c r="L20">
        <f ca="1">'Sub14'!$K$1-H20</f>
        <v>6598</v>
      </c>
      <c r="M20">
        <f t="shared" ca="1" si="2"/>
        <v>18.076712328767123</v>
      </c>
      <c r="N20">
        <f t="shared" ca="1" si="3"/>
        <v>18</v>
      </c>
      <c r="O20">
        <f t="shared" ca="1" si="4"/>
        <v>28</v>
      </c>
      <c r="P20">
        <f t="shared" ca="1" si="5"/>
        <v>0</v>
      </c>
    </row>
    <row r="21" spans="1:17" x14ac:dyDescent="0.2">
      <c r="A21" s="33">
        <v>19</v>
      </c>
      <c r="B21" s="1" t="s">
        <v>397</v>
      </c>
      <c r="C21" s="11" t="s">
        <v>398</v>
      </c>
      <c r="D21" s="11"/>
      <c r="E21" s="11" t="s">
        <v>29</v>
      </c>
      <c r="F21" s="12">
        <v>45838</v>
      </c>
      <c r="G21" s="19">
        <v>0</v>
      </c>
      <c r="H21" s="17">
        <v>39137</v>
      </c>
      <c r="I21" s="11" t="str">
        <f t="shared" ca="1" si="0"/>
        <v>19 años 1 meses</v>
      </c>
      <c r="J21" s="8">
        <f ca="1">F21-'Sub14'!$K$1</f>
        <v>-266</v>
      </c>
      <c r="K21" s="11">
        <f t="shared" ca="1" si="1"/>
        <v>-266</v>
      </c>
      <c r="L21">
        <f ca="1">'Sub14'!$K$1-H21</f>
        <v>6967</v>
      </c>
      <c r="M21">
        <f t="shared" ca="1" si="2"/>
        <v>19.087671232876712</v>
      </c>
      <c r="N21">
        <f t="shared" ca="1" si="3"/>
        <v>19</v>
      </c>
      <c r="O21">
        <f t="shared" ca="1" si="4"/>
        <v>32</v>
      </c>
      <c r="P21">
        <f t="shared" ca="1" si="5"/>
        <v>1</v>
      </c>
    </row>
    <row r="22" spans="1:17" x14ac:dyDescent="0.2">
      <c r="A22" s="33">
        <v>20</v>
      </c>
      <c r="B22" s="1" t="s">
        <v>280</v>
      </c>
      <c r="C22" s="11" t="s">
        <v>281</v>
      </c>
      <c r="D22" s="11"/>
      <c r="E22" s="11" t="s">
        <v>29</v>
      </c>
      <c r="F22" s="12">
        <v>45838</v>
      </c>
      <c r="G22" s="19">
        <v>0</v>
      </c>
      <c r="H22" s="17">
        <v>39521</v>
      </c>
      <c r="I22" s="11" t="str">
        <f t="shared" ca="1" si="0"/>
        <v>18 años 0 meses</v>
      </c>
      <c r="J22" s="8">
        <f ca="1">F22-'Sub14'!$K$1</f>
        <v>-266</v>
      </c>
      <c r="K22" s="11">
        <f t="shared" ca="1" si="1"/>
        <v>-266</v>
      </c>
      <c r="L22">
        <f ca="1">'Sub14'!$K$1-H22</f>
        <v>6583</v>
      </c>
      <c r="M22">
        <f t="shared" ca="1" si="2"/>
        <v>18.035616438356165</v>
      </c>
      <c r="N22">
        <f t="shared" ca="1" si="3"/>
        <v>18</v>
      </c>
      <c r="O22">
        <f t="shared" ca="1" si="4"/>
        <v>13</v>
      </c>
      <c r="P22">
        <f t="shared" ca="1" si="5"/>
        <v>0</v>
      </c>
    </row>
    <row r="23" spans="1:17" x14ac:dyDescent="0.2">
      <c r="A23" s="33">
        <v>21</v>
      </c>
      <c r="B23" s="1" t="s">
        <v>269</v>
      </c>
      <c r="C23" s="11" t="s">
        <v>270</v>
      </c>
      <c r="D23" s="11"/>
      <c r="E23" s="11" t="s">
        <v>29</v>
      </c>
      <c r="F23" s="12">
        <v>45838</v>
      </c>
      <c r="G23" s="19">
        <v>0</v>
      </c>
      <c r="H23" s="17">
        <v>39487</v>
      </c>
      <c r="I23" s="11" t="str">
        <f t="shared" ca="1" si="0"/>
        <v>18 años 1 meses</v>
      </c>
      <c r="J23" s="8">
        <f ca="1">F23-'Sub14'!$K$1</f>
        <v>-266</v>
      </c>
      <c r="K23" s="11">
        <f t="shared" ca="1" si="1"/>
        <v>-266</v>
      </c>
      <c r="L23">
        <f ca="1">'Sub14'!$K$1-H23</f>
        <v>6617</v>
      </c>
      <c r="M23" s="21">
        <f t="shared" ca="1" si="2"/>
        <v>18.12876712328767</v>
      </c>
      <c r="N23" s="21">
        <f t="shared" ca="1" si="3"/>
        <v>18</v>
      </c>
      <c r="O23" s="21">
        <f t="shared" ca="1" si="4"/>
        <v>47</v>
      </c>
      <c r="P23" s="21">
        <f t="shared" ca="1" si="5"/>
        <v>1</v>
      </c>
      <c r="Q23" s="44"/>
    </row>
    <row r="24" spans="1:17" x14ac:dyDescent="0.2">
      <c r="A24" s="33">
        <v>22</v>
      </c>
      <c r="B24" s="11" t="s">
        <v>251</v>
      </c>
      <c r="C24" s="11" t="s">
        <v>304</v>
      </c>
      <c r="D24" s="11"/>
      <c r="E24" s="11" t="s">
        <v>29</v>
      </c>
      <c r="F24" s="12">
        <v>45838</v>
      </c>
      <c r="G24" s="22">
        <v>0</v>
      </c>
      <c r="H24" s="20">
        <v>39221</v>
      </c>
      <c r="I24" s="11" t="str">
        <f t="shared" ca="1" si="0"/>
        <v>18 años 10 meses</v>
      </c>
      <c r="J24" s="8">
        <f ca="1">F24-$K$1</f>
        <v>-266</v>
      </c>
      <c r="K24" s="11">
        <f t="shared" ca="1" si="1"/>
        <v>-266</v>
      </c>
      <c r="L24">
        <f ca="1">$K$1-H24</f>
        <v>6883</v>
      </c>
      <c r="M24">
        <f t="shared" ca="1" si="2"/>
        <v>18.857534246575341</v>
      </c>
      <c r="N24">
        <f t="shared" ca="1" si="3"/>
        <v>18</v>
      </c>
      <c r="O24">
        <f t="shared" ca="1" si="4"/>
        <v>313</v>
      </c>
      <c r="P24">
        <f t="shared" ca="1" si="5"/>
        <v>10</v>
      </c>
    </row>
    <row r="25" spans="1:17" x14ac:dyDescent="0.2">
      <c r="A25" s="33">
        <v>23</v>
      </c>
      <c r="B25" s="1" t="s">
        <v>94</v>
      </c>
      <c r="C25" s="11" t="s">
        <v>271</v>
      </c>
      <c r="D25" s="11"/>
      <c r="E25" s="11" t="s">
        <v>29</v>
      </c>
      <c r="F25" s="12">
        <v>45838</v>
      </c>
      <c r="G25" s="19">
        <v>0</v>
      </c>
      <c r="H25" s="17">
        <v>39637</v>
      </c>
      <c r="I25" s="11" t="str">
        <f t="shared" ca="1" si="0"/>
        <v>17 años 8 meses</v>
      </c>
      <c r="J25" s="8">
        <f ca="1">F25-'Sub14'!$K$1</f>
        <v>-266</v>
      </c>
      <c r="K25" s="11">
        <f t="shared" ca="1" si="1"/>
        <v>-266</v>
      </c>
      <c r="L25">
        <f ca="1">'Sub14'!$K$1-H25</f>
        <v>6467</v>
      </c>
      <c r="M25">
        <f t="shared" ca="1" si="2"/>
        <v>17.717808219178082</v>
      </c>
      <c r="N25">
        <f t="shared" ca="1" si="3"/>
        <v>17</v>
      </c>
      <c r="O25">
        <f t="shared" ca="1" si="4"/>
        <v>262</v>
      </c>
      <c r="P25">
        <f t="shared" ca="1" si="5"/>
        <v>8</v>
      </c>
    </row>
    <row r="26" spans="1:17" x14ac:dyDescent="0.2">
      <c r="A26" s="33">
        <v>24</v>
      </c>
      <c r="B26" s="1" t="s">
        <v>181</v>
      </c>
      <c r="C26" s="11" t="s">
        <v>208</v>
      </c>
      <c r="D26" s="11"/>
      <c r="E26" s="11" t="s">
        <v>29</v>
      </c>
      <c r="F26" s="12">
        <v>45838</v>
      </c>
      <c r="G26" s="19">
        <v>0</v>
      </c>
      <c r="H26" s="17">
        <v>39368</v>
      </c>
      <c r="I26" s="11" t="str">
        <f t="shared" ca="1" si="0"/>
        <v>18 años 5 meses</v>
      </c>
      <c r="J26" s="8">
        <f ca="1">F26-'Sub14'!$K$1</f>
        <v>-266</v>
      </c>
      <c r="K26" s="11">
        <f t="shared" ca="1" si="1"/>
        <v>-266</v>
      </c>
      <c r="L26">
        <f ca="1">'Sub14'!$K$1-H26</f>
        <v>6736</v>
      </c>
      <c r="M26">
        <f t="shared" ca="1" si="2"/>
        <v>18.454794520547946</v>
      </c>
      <c r="N26">
        <f t="shared" ca="1" si="3"/>
        <v>18</v>
      </c>
      <c r="O26">
        <f t="shared" ca="1" si="4"/>
        <v>166</v>
      </c>
      <c r="P26">
        <f t="shared" ca="1" si="5"/>
        <v>5</v>
      </c>
      <c r="Q26" s="59"/>
    </row>
    <row r="27" spans="1:17" x14ac:dyDescent="0.2">
      <c r="A27" s="33">
        <v>25</v>
      </c>
      <c r="B27" s="1" t="s">
        <v>182</v>
      </c>
      <c r="C27" s="11" t="s">
        <v>209</v>
      </c>
      <c r="D27" s="11"/>
      <c r="E27" s="11" t="s">
        <v>29</v>
      </c>
      <c r="F27" s="12">
        <v>45838</v>
      </c>
      <c r="G27" s="19">
        <v>0</v>
      </c>
      <c r="H27" s="17">
        <v>39196</v>
      </c>
      <c r="I27" s="11" t="str">
        <f t="shared" ca="1" si="0"/>
        <v>18 años 11 meses</v>
      </c>
      <c r="J27" s="8">
        <f ca="1">F27-'Sub14'!$K$1</f>
        <v>-266</v>
      </c>
      <c r="K27" s="11">
        <f t="shared" ca="1" si="1"/>
        <v>-266</v>
      </c>
      <c r="L27">
        <f ca="1">'Sub14'!$K$1-H27</f>
        <v>6908</v>
      </c>
      <c r="M27">
        <f t="shared" ca="1" si="2"/>
        <v>18.926027397260274</v>
      </c>
      <c r="N27">
        <f t="shared" ca="1" si="3"/>
        <v>18</v>
      </c>
      <c r="O27">
        <f t="shared" ca="1" si="4"/>
        <v>338</v>
      </c>
      <c r="P27">
        <f t="shared" ca="1" si="5"/>
        <v>11</v>
      </c>
    </row>
    <row r="28" spans="1:17" x14ac:dyDescent="0.2">
      <c r="A28" s="33">
        <v>26</v>
      </c>
      <c r="B28" s="1" t="s">
        <v>313</v>
      </c>
      <c r="C28" s="11" t="s">
        <v>314</v>
      </c>
      <c r="D28" s="11"/>
      <c r="E28" s="11" t="s">
        <v>28</v>
      </c>
      <c r="F28" s="12">
        <v>45657</v>
      </c>
      <c r="G28" s="19">
        <v>0</v>
      </c>
      <c r="H28" s="17">
        <v>39774</v>
      </c>
      <c r="I28" s="11" t="str">
        <f t="shared" ca="1" si="0"/>
        <v>17 años 4 meses</v>
      </c>
      <c r="J28" s="8">
        <f ca="1">F28-'Sub14'!$K$1</f>
        <v>-447</v>
      </c>
      <c r="K28" s="11">
        <f t="shared" ca="1" si="1"/>
        <v>-447</v>
      </c>
      <c r="L28">
        <f ca="1">'Sub14'!$K$1-H28</f>
        <v>6330</v>
      </c>
      <c r="M28">
        <f t="shared" ca="1" si="2"/>
        <v>17.342465753424658</v>
      </c>
      <c r="N28">
        <f t="shared" ca="1" si="3"/>
        <v>17</v>
      </c>
      <c r="O28">
        <f t="shared" ca="1" si="4"/>
        <v>125</v>
      </c>
      <c r="P28">
        <f t="shared" ca="1" si="5"/>
        <v>4</v>
      </c>
    </row>
    <row r="29" spans="1:17" x14ac:dyDescent="0.2">
      <c r="A29" s="33">
        <v>27</v>
      </c>
      <c r="B29" s="11" t="s">
        <v>389</v>
      </c>
      <c r="C29" s="11" t="s">
        <v>390</v>
      </c>
      <c r="D29" s="11"/>
      <c r="E29" s="11" t="s">
        <v>29</v>
      </c>
      <c r="F29" s="12">
        <v>45838</v>
      </c>
      <c r="G29" s="19">
        <v>0</v>
      </c>
      <c r="H29" s="20">
        <v>39114</v>
      </c>
      <c r="I29" s="11" t="str">
        <f t="shared" ca="1" si="0"/>
        <v>19 años 1 meses</v>
      </c>
      <c r="J29" s="8">
        <f ca="1">F29-$K$1</f>
        <v>-266</v>
      </c>
      <c r="K29" s="11">
        <f t="shared" ca="1" si="1"/>
        <v>-266</v>
      </c>
      <c r="L29">
        <f ca="1">$K$1-H29</f>
        <v>6990</v>
      </c>
      <c r="M29">
        <f t="shared" ca="1" si="2"/>
        <v>19.150684931506849</v>
      </c>
      <c r="N29">
        <f t="shared" ca="1" si="3"/>
        <v>19</v>
      </c>
      <c r="O29">
        <f t="shared" ca="1" si="4"/>
        <v>55</v>
      </c>
      <c r="P29">
        <f t="shared" ca="1" si="5"/>
        <v>1</v>
      </c>
    </row>
    <row r="30" spans="1:17" x14ac:dyDescent="0.2">
      <c r="A30" s="33">
        <v>28</v>
      </c>
      <c r="B30" s="1" t="s">
        <v>178</v>
      </c>
      <c r="C30" s="11" t="s">
        <v>179</v>
      </c>
      <c r="D30" s="11"/>
      <c r="E30" s="11" t="s">
        <v>29</v>
      </c>
      <c r="F30" s="12">
        <v>45838</v>
      </c>
      <c r="G30" s="19">
        <v>0</v>
      </c>
      <c r="H30" s="17">
        <v>39567</v>
      </c>
      <c r="I30" s="11" t="str">
        <f t="shared" ca="1" si="0"/>
        <v>17 años 11 meses</v>
      </c>
      <c r="J30" s="8">
        <f ca="1">F30-'Sub14'!$K$1</f>
        <v>-266</v>
      </c>
      <c r="K30" s="11">
        <f t="shared" ca="1" si="1"/>
        <v>-266</v>
      </c>
      <c r="L30">
        <f ca="1">'Sub14'!$K$1-H30</f>
        <v>6537</v>
      </c>
      <c r="M30">
        <f t="shared" ca="1" si="2"/>
        <v>17.909589041095892</v>
      </c>
      <c r="N30">
        <f t="shared" ca="1" si="3"/>
        <v>17</v>
      </c>
      <c r="O30">
        <f t="shared" ca="1" si="4"/>
        <v>332</v>
      </c>
      <c r="P30">
        <f t="shared" ca="1" si="5"/>
        <v>11</v>
      </c>
      <c r="Q30" s="59" t="s">
        <v>459</v>
      </c>
    </row>
    <row r="31" spans="1:17" x14ac:dyDescent="0.2">
      <c r="A31" s="33">
        <v>29</v>
      </c>
      <c r="B31" s="1" t="s">
        <v>207</v>
      </c>
      <c r="C31" s="11" t="s">
        <v>180</v>
      </c>
      <c r="D31" s="11"/>
      <c r="E31" s="11" t="s">
        <v>29</v>
      </c>
      <c r="F31" s="12">
        <v>45838</v>
      </c>
      <c r="G31" s="19">
        <v>0</v>
      </c>
      <c r="H31" s="17">
        <v>39116</v>
      </c>
      <c r="I31" s="11" t="str">
        <f t="shared" ca="1" si="0"/>
        <v>19 años 1 meses</v>
      </c>
      <c r="J31" s="8">
        <f ca="1">F31-'Sub14'!$K$1</f>
        <v>-266</v>
      </c>
      <c r="K31" s="11">
        <f t="shared" ca="1" si="1"/>
        <v>-266</v>
      </c>
      <c r="L31">
        <f ca="1">'Sub14'!$K$1-H31</f>
        <v>6988</v>
      </c>
      <c r="M31">
        <f t="shared" ca="1" si="2"/>
        <v>19.145205479452056</v>
      </c>
      <c r="N31">
        <f t="shared" ca="1" si="3"/>
        <v>19</v>
      </c>
      <c r="O31">
        <f t="shared" ca="1" si="4"/>
        <v>53</v>
      </c>
      <c r="P31">
        <f t="shared" ca="1" si="5"/>
        <v>1</v>
      </c>
      <c r="Q31" s="44"/>
    </row>
    <row r="32" spans="1:17" x14ac:dyDescent="0.2">
      <c r="A32" s="33">
        <v>30</v>
      </c>
      <c r="B32" s="1" t="s">
        <v>265</v>
      </c>
      <c r="C32" s="11" t="s">
        <v>266</v>
      </c>
      <c r="D32" s="11"/>
      <c r="E32" s="11" t="s">
        <v>29</v>
      </c>
      <c r="F32" s="12">
        <v>45838</v>
      </c>
      <c r="G32" s="19">
        <v>0</v>
      </c>
      <c r="H32" s="17">
        <v>39959</v>
      </c>
      <c r="I32" s="11" t="str">
        <f t="shared" ca="1" si="0"/>
        <v>16 años 10 meses</v>
      </c>
      <c r="J32" s="8">
        <f ca="1">F32-'Sub14'!$K$1</f>
        <v>-266</v>
      </c>
      <c r="K32" s="11">
        <f t="shared" ca="1" si="1"/>
        <v>-266</v>
      </c>
      <c r="L32">
        <f ca="1">'Sub14'!$K$1-H32</f>
        <v>6145</v>
      </c>
      <c r="M32">
        <f t="shared" ca="1" si="2"/>
        <v>16.835616438356166</v>
      </c>
      <c r="N32">
        <f t="shared" ca="1" si="3"/>
        <v>16</v>
      </c>
      <c r="O32">
        <f t="shared" ca="1" si="4"/>
        <v>305</v>
      </c>
      <c r="P32">
        <f t="shared" ca="1" si="5"/>
        <v>10</v>
      </c>
      <c r="Q32" s="59" t="s">
        <v>459</v>
      </c>
    </row>
    <row r="33" spans="1:17" x14ac:dyDescent="0.2">
      <c r="A33" s="33">
        <v>31</v>
      </c>
      <c r="B33" s="1" t="s">
        <v>97</v>
      </c>
      <c r="C33" s="11" t="s">
        <v>183</v>
      </c>
      <c r="D33" s="11"/>
      <c r="E33" s="11" t="s">
        <v>29</v>
      </c>
      <c r="F33" s="12">
        <v>45838</v>
      </c>
      <c r="G33" s="19">
        <v>0</v>
      </c>
      <c r="H33" s="17">
        <v>39270</v>
      </c>
      <c r="I33" s="11" t="str">
        <f t="shared" ca="1" si="0"/>
        <v>18 años 8 meses</v>
      </c>
      <c r="J33" s="8">
        <f ca="1">F33-'Sub14'!$K$1</f>
        <v>-266</v>
      </c>
      <c r="K33" s="11">
        <f t="shared" ca="1" si="1"/>
        <v>-266</v>
      </c>
      <c r="L33">
        <f ca="1">'Sub14'!$K$1-H33</f>
        <v>6834</v>
      </c>
      <c r="M33">
        <f t="shared" ca="1" si="2"/>
        <v>18.723287671232878</v>
      </c>
      <c r="N33">
        <f t="shared" ca="1" si="3"/>
        <v>18</v>
      </c>
      <c r="O33">
        <f t="shared" ca="1" si="4"/>
        <v>264</v>
      </c>
      <c r="P33">
        <f t="shared" ca="1" si="5"/>
        <v>8</v>
      </c>
    </row>
    <row r="34" spans="1:17" x14ac:dyDescent="0.2">
      <c r="A34" s="33">
        <v>32</v>
      </c>
      <c r="B34" s="1" t="s">
        <v>267</v>
      </c>
      <c r="C34" s="11" t="s">
        <v>268</v>
      </c>
      <c r="D34" s="11"/>
      <c r="E34" s="11" t="s">
        <v>29</v>
      </c>
      <c r="F34" s="12">
        <v>45838</v>
      </c>
      <c r="G34" s="19">
        <v>0</v>
      </c>
      <c r="H34" s="17">
        <v>39664</v>
      </c>
      <c r="I34" s="11" t="str">
        <f t="shared" ca="1" si="0"/>
        <v>17 años 7 meses</v>
      </c>
      <c r="J34" s="8">
        <f ca="1">F34-'Sub14'!$K$1</f>
        <v>-266</v>
      </c>
      <c r="K34" s="11">
        <f t="shared" ca="1" si="1"/>
        <v>-266</v>
      </c>
      <c r="L34">
        <f ca="1">'Sub14'!$K$1-H34</f>
        <v>6440</v>
      </c>
      <c r="M34">
        <f t="shared" ca="1" si="2"/>
        <v>17.643835616438356</v>
      </c>
      <c r="N34">
        <f t="shared" ca="1" si="3"/>
        <v>17</v>
      </c>
      <c r="O34">
        <f t="shared" ca="1" si="4"/>
        <v>235</v>
      </c>
      <c r="P34">
        <f t="shared" ca="1" si="5"/>
        <v>7</v>
      </c>
      <c r="Q34" s="44"/>
    </row>
    <row r="35" spans="1:17" x14ac:dyDescent="0.2">
      <c r="A35" s="33">
        <v>33</v>
      </c>
      <c r="B35" s="1" t="s">
        <v>317</v>
      </c>
      <c r="C35" s="11" t="s">
        <v>318</v>
      </c>
      <c r="D35" s="11"/>
      <c r="E35" s="11" t="s">
        <v>28</v>
      </c>
      <c r="F35" s="12">
        <v>45657</v>
      </c>
      <c r="G35" s="19">
        <v>0</v>
      </c>
      <c r="H35" s="17">
        <v>39501</v>
      </c>
      <c r="I35" s="11" t="str">
        <f t="shared" ca="1" si="0"/>
        <v>18 años 1 meses</v>
      </c>
      <c r="J35" s="8">
        <f ca="1">F35-'Sub14'!$K$1</f>
        <v>-447</v>
      </c>
      <c r="K35" s="11">
        <f t="shared" ca="1" si="1"/>
        <v>-447</v>
      </c>
      <c r="L35">
        <f ca="1">'Sub14'!$K$1-H35</f>
        <v>6603</v>
      </c>
      <c r="M35">
        <f t="shared" ca="1" si="2"/>
        <v>18.090410958904108</v>
      </c>
      <c r="N35">
        <f t="shared" ca="1" si="3"/>
        <v>18</v>
      </c>
      <c r="O35">
        <f t="shared" ca="1" si="4"/>
        <v>33</v>
      </c>
      <c r="P35">
        <f t="shared" ca="1" si="5"/>
        <v>1</v>
      </c>
      <c r="Q35" s="59" t="s">
        <v>459</v>
      </c>
    </row>
    <row r="36" spans="1:17" x14ac:dyDescent="0.2">
      <c r="A36" s="33">
        <v>34</v>
      </c>
      <c r="B36" s="1" t="s">
        <v>184</v>
      </c>
      <c r="C36" s="11" t="s">
        <v>210</v>
      </c>
      <c r="D36" s="11"/>
      <c r="E36" s="11" t="s">
        <v>29</v>
      </c>
      <c r="F36" s="12">
        <v>45838</v>
      </c>
      <c r="G36" s="19">
        <v>0</v>
      </c>
      <c r="H36" s="17">
        <v>39092</v>
      </c>
      <c r="I36" s="11" t="str">
        <f t="shared" ca="1" si="0"/>
        <v>19 años 2 meses</v>
      </c>
      <c r="J36" s="8">
        <f ca="1">F36-'Sub14'!$K$1</f>
        <v>-266</v>
      </c>
      <c r="K36" s="11">
        <f t="shared" ca="1" si="1"/>
        <v>-266</v>
      </c>
      <c r="L36">
        <f ca="1">'Sub14'!$K$1-H36</f>
        <v>7012</v>
      </c>
      <c r="M36">
        <f t="shared" ca="1" si="2"/>
        <v>19.210958904109589</v>
      </c>
      <c r="N36">
        <f t="shared" ca="1" si="3"/>
        <v>19</v>
      </c>
      <c r="O36">
        <f t="shared" ca="1" si="4"/>
        <v>77</v>
      </c>
      <c r="P36">
        <f t="shared" ca="1" si="5"/>
        <v>2</v>
      </c>
    </row>
    <row r="37" spans="1:17" x14ac:dyDescent="0.2">
      <c r="A37" s="33">
        <v>35</v>
      </c>
      <c r="B37" s="1" t="s">
        <v>94</v>
      </c>
      <c r="C37" s="11" t="s">
        <v>456</v>
      </c>
      <c r="D37" s="11"/>
      <c r="E37" s="11" t="s">
        <v>29</v>
      </c>
      <c r="F37" s="12">
        <v>45838</v>
      </c>
      <c r="G37" s="19">
        <v>0</v>
      </c>
      <c r="H37" s="17">
        <v>39290</v>
      </c>
      <c r="I37" s="11" t="str">
        <f t="shared" ca="1" si="0"/>
        <v>18 años 8 meses</v>
      </c>
      <c r="J37" s="8">
        <f ca="1">F37-'Sub14'!$K$1</f>
        <v>-266</v>
      </c>
      <c r="K37" s="11">
        <f t="shared" ca="1" si="1"/>
        <v>-266</v>
      </c>
      <c r="L37">
        <f ca="1">'Sub14'!$K$1-H37</f>
        <v>6814</v>
      </c>
      <c r="M37">
        <f t="shared" ca="1" si="2"/>
        <v>18.668493150684931</v>
      </c>
      <c r="N37">
        <f t="shared" ca="1" si="3"/>
        <v>18</v>
      </c>
      <c r="O37">
        <f t="shared" ca="1" si="4"/>
        <v>244</v>
      </c>
      <c r="P37">
        <f t="shared" ca="1" si="5"/>
        <v>8</v>
      </c>
    </row>
    <row r="38" spans="1:17" x14ac:dyDescent="0.2">
      <c r="A38" s="33">
        <v>36</v>
      </c>
      <c r="B38" s="11" t="s">
        <v>387</v>
      </c>
      <c r="C38" s="11" t="s">
        <v>388</v>
      </c>
      <c r="D38" s="11"/>
      <c r="E38" s="11" t="s">
        <v>29</v>
      </c>
      <c r="F38" s="12">
        <v>45838</v>
      </c>
      <c r="G38" s="22">
        <v>0</v>
      </c>
      <c r="H38" s="17">
        <v>39225</v>
      </c>
      <c r="I38" s="11" t="str">
        <f t="shared" ca="1" si="0"/>
        <v>18 años 10 meses</v>
      </c>
      <c r="J38" s="8">
        <f ca="1">F38-$K$1</f>
        <v>-266</v>
      </c>
      <c r="K38" s="11">
        <f t="shared" ca="1" si="1"/>
        <v>-266</v>
      </c>
      <c r="L38">
        <f ca="1">$K$1-H38</f>
        <v>6879</v>
      </c>
      <c r="M38">
        <f t="shared" ca="1" si="2"/>
        <v>18.846575342465755</v>
      </c>
      <c r="N38">
        <f t="shared" ca="1" si="3"/>
        <v>18</v>
      </c>
      <c r="O38">
        <f t="shared" ca="1" si="4"/>
        <v>309</v>
      </c>
      <c r="P38">
        <f t="shared" ca="1" si="5"/>
        <v>10</v>
      </c>
    </row>
    <row r="39" spans="1:17" x14ac:dyDescent="0.2">
      <c r="A39" s="33">
        <v>37</v>
      </c>
      <c r="B39" s="1" t="s">
        <v>393</v>
      </c>
      <c r="C39" s="11" t="s">
        <v>394</v>
      </c>
      <c r="D39" s="11"/>
      <c r="E39" s="11" t="s">
        <v>29</v>
      </c>
      <c r="F39" s="12">
        <v>45838</v>
      </c>
      <c r="G39" s="19">
        <v>0</v>
      </c>
      <c r="H39" s="17">
        <v>39264</v>
      </c>
      <c r="I39" s="11" t="str">
        <f t="shared" ca="1" si="0"/>
        <v>18 años 9 meses</v>
      </c>
      <c r="J39" s="8">
        <f ca="1">F39-'Sub14'!$K$1</f>
        <v>-266</v>
      </c>
      <c r="K39" s="11">
        <f t="shared" ca="1" si="1"/>
        <v>-266</v>
      </c>
      <c r="L39">
        <f ca="1">'Sub14'!$K$1-H39</f>
        <v>6840</v>
      </c>
      <c r="M39">
        <f t="shared" ca="1" si="2"/>
        <v>18.739726027397261</v>
      </c>
      <c r="N39">
        <f t="shared" ca="1" si="3"/>
        <v>18</v>
      </c>
      <c r="O39">
        <f t="shared" ca="1" si="4"/>
        <v>270</v>
      </c>
      <c r="P39">
        <f t="shared" ca="1" si="5"/>
        <v>9</v>
      </c>
    </row>
    <row r="40" spans="1:17" x14ac:dyDescent="0.2">
      <c r="A40" s="33">
        <v>38</v>
      </c>
      <c r="B40" s="1" t="s">
        <v>315</v>
      </c>
      <c r="C40" s="11" t="s">
        <v>316</v>
      </c>
      <c r="D40" s="11"/>
      <c r="E40" s="11" t="s">
        <v>28</v>
      </c>
      <c r="F40" s="12">
        <v>45657</v>
      </c>
      <c r="G40" s="19">
        <v>0</v>
      </c>
      <c r="H40" s="17">
        <v>39556</v>
      </c>
      <c r="I40" s="11" t="str">
        <f t="shared" ca="1" si="0"/>
        <v>17 años 11 meses</v>
      </c>
      <c r="J40" s="8">
        <f ca="1">F40-'Sub14'!$K$1</f>
        <v>-447</v>
      </c>
      <c r="K40" s="11">
        <f t="shared" ca="1" si="1"/>
        <v>-447</v>
      </c>
      <c r="L40">
        <f ca="1">'Sub14'!$K$1-H40</f>
        <v>6548</v>
      </c>
      <c r="M40">
        <f t="shared" ca="1" si="2"/>
        <v>17.93972602739726</v>
      </c>
      <c r="N40">
        <f t="shared" ca="1" si="3"/>
        <v>17</v>
      </c>
      <c r="O40">
        <f t="shared" ca="1" si="4"/>
        <v>343</v>
      </c>
      <c r="P40">
        <f t="shared" ca="1" si="5"/>
        <v>11</v>
      </c>
      <c r="Q40" s="59" t="s">
        <v>459</v>
      </c>
    </row>
  </sheetData>
  <sheetProtection algorithmName="SHA-512" hashValue="kYspsKSQp80gWgsWBFpJp3kVjJEG+1HDFzznl7028zZtAIwcI9nRlnJ/n5qFFuZTvS9Sr05WN7AA9HUHQEinZg==" saltValue="lsj6W5lwra00zb3wnZEB+w==" spinCount="100000" sheet="1" sort="0" autoFilter="0"/>
  <sortState xmlns:xlrd2="http://schemas.microsoft.com/office/spreadsheetml/2017/richdata2" ref="A3:Q40">
    <sortCondition ref="C3:C40"/>
  </sortState>
  <mergeCells count="1">
    <mergeCell ref="A1:J1"/>
  </mergeCells>
  <phoneticPr fontId="12" type="noConversion"/>
  <conditionalFormatting sqref="E2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40">
    <cfRule type="containsText" dxfId="4" priority="1" operator="containsText" text="Clausura 2018">
      <formula>NOT(ISERROR(SEARCH("Clausura 2018",F3)))</formula>
    </cfRule>
  </conditionalFormatting>
  <conditionalFormatting sqref="G2:I2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4">
    <cfRule type="containsText" dxfId="3" priority="31" operator="containsText" text="Clausura 2018">
      <formula>NOT(ISERROR(SEARCH("Clausura 2018",H24)))</formula>
    </cfRule>
  </conditionalFormatting>
  <conditionalFormatting sqref="J2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iconSet" priority="2">
      <iconSet iconSet="3Symbols" showValue="0">
        <cfvo type="percent" val="0"/>
        <cfvo type="num" val="365"/>
        <cfvo type="num" val="547"/>
      </iconSet>
    </cfRule>
  </conditionalFormatting>
  <conditionalFormatting sqref="J4">
    <cfRule type="iconSet" priority="42">
      <iconSet iconSet="3Symbols" showValue="0">
        <cfvo type="percent" val="0"/>
        <cfvo type="num" val="365"/>
        <cfvo type="num" val="547"/>
      </iconSet>
    </cfRule>
  </conditionalFormatting>
  <conditionalFormatting sqref="J5">
    <cfRule type="iconSet" priority="56">
      <iconSet iconSet="3Symbols" showValue="0">
        <cfvo type="percent" val="0"/>
        <cfvo type="num" val="365"/>
        <cfvo type="num" val="547"/>
      </iconSet>
    </cfRule>
  </conditionalFormatting>
  <conditionalFormatting sqref="J6">
    <cfRule type="iconSet" priority="38">
      <iconSet iconSet="3Symbols" showValue="0">
        <cfvo type="percent" val="0"/>
        <cfvo type="num" val="365"/>
        <cfvo type="num" val="547"/>
      </iconSet>
    </cfRule>
  </conditionalFormatting>
  <conditionalFormatting sqref="J7">
    <cfRule type="iconSet" priority="51">
      <iconSet iconSet="3Symbols" showValue="0">
        <cfvo type="percent" val="0"/>
        <cfvo type="num" val="365"/>
        <cfvo type="num" val="547"/>
      </iconSet>
    </cfRule>
  </conditionalFormatting>
  <conditionalFormatting sqref="J8">
    <cfRule type="iconSet" priority="54">
      <iconSet iconSet="3Symbols" showValue="0">
        <cfvo type="percent" val="0"/>
        <cfvo type="num" val="365"/>
        <cfvo type="num" val="547"/>
      </iconSet>
    </cfRule>
  </conditionalFormatting>
  <conditionalFormatting sqref="J9">
    <cfRule type="iconSet" priority="16">
      <iconSet iconSet="3Symbols" showValue="0">
        <cfvo type="percent" val="0"/>
        <cfvo type="num" val="365"/>
        <cfvo type="num" val="547"/>
      </iconSet>
    </cfRule>
  </conditionalFormatting>
  <conditionalFormatting sqref="J10">
    <cfRule type="iconSet" priority="43">
      <iconSet iconSet="3Symbols" showValue="0">
        <cfvo type="percent" val="0"/>
        <cfvo type="num" val="365"/>
        <cfvo type="num" val="547"/>
      </iconSet>
    </cfRule>
  </conditionalFormatting>
  <conditionalFormatting sqref="J11">
    <cfRule type="iconSet" priority="35">
      <iconSet iconSet="3Symbols" showValue="0">
        <cfvo type="percent" val="0"/>
        <cfvo type="num" val="365"/>
        <cfvo type="num" val="547"/>
      </iconSet>
    </cfRule>
  </conditionalFormatting>
  <conditionalFormatting sqref="J12 J18:J19">
    <cfRule type="iconSet" priority="32">
      <iconSet iconSet="3Symbols" showValue="0">
        <cfvo type="percent" val="0"/>
        <cfvo type="num" val="365"/>
        <cfvo type="num" val="547"/>
      </iconSet>
    </cfRule>
  </conditionalFormatting>
  <conditionalFormatting sqref="J13">
    <cfRule type="iconSet" priority="14">
      <iconSet iconSet="3Symbols" showValue="0">
        <cfvo type="percent" val="0"/>
        <cfvo type="num" val="365"/>
        <cfvo type="num" val="547"/>
      </iconSet>
    </cfRule>
  </conditionalFormatting>
  <conditionalFormatting sqref="J14:J16">
    <cfRule type="iconSet" priority="18">
      <iconSet iconSet="3Symbols" showValue="0">
        <cfvo type="percent" val="0"/>
        <cfvo type="num" val="365"/>
        <cfvo type="num" val="547"/>
      </iconSet>
    </cfRule>
  </conditionalFormatting>
  <conditionalFormatting sqref="J17">
    <cfRule type="iconSet" priority="8">
      <iconSet iconSet="3Symbols" showValue="0">
        <cfvo type="percent" val="0"/>
        <cfvo type="num" val="365"/>
        <cfvo type="num" val="547"/>
      </iconSet>
    </cfRule>
  </conditionalFormatting>
  <conditionalFormatting sqref="J20 J23:J25">
    <cfRule type="iconSet" priority="876">
      <iconSet iconSet="3Symbols" showValue="0">
        <cfvo type="percent" val="0"/>
        <cfvo type="num" val="365"/>
        <cfvo type="num" val="547"/>
      </iconSet>
    </cfRule>
  </conditionalFormatting>
  <conditionalFormatting sqref="J21">
    <cfRule type="iconSet" priority="22">
      <iconSet iconSet="3Symbols" showValue="0">
        <cfvo type="percent" val="0"/>
        <cfvo type="num" val="365"/>
        <cfvo type="num" val="547"/>
      </iconSet>
    </cfRule>
  </conditionalFormatting>
  <conditionalFormatting sqref="J22">
    <cfRule type="iconSet" priority="58">
      <iconSet iconSet="3Symbols" showValue="0">
        <cfvo type="percent" val="0"/>
        <cfvo type="num" val="365"/>
        <cfvo type="num" val="547"/>
      </iconSet>
    </cfRule>
  </conditionalFormatting>
  <conditionalFormatting sqref="J26">
    <cfRule type="iconSet" priority="50">
      <iconSet iconSet="3Symbols" showValue="0">
        <cfvo type="percent" val="0"/>
        <cfvo type="num" val="365"/>
        <cfvo type="num" val="547"/>
      </iconSet>
    </cfRule>
  </conditionalFormatting>
  <conditionalFormatting sqref="J27">
    <cfRule type="iconSet" priority="30">
      <iconSet iconSet="3Symbols" showValue="0">
        <cfvo type="percent" val="0"/>
        <cfvo type="num" val="365"/>
        <cfvo type="num" val="547"/>
      </iconSet>
    </cfRule>
  </conditionalFormatting>
  <conditionalFormatting sqref="J28">
    <cfRule type="iconSet" priority="46">
      <iconSet iconSet="3Symbols" showValue="0">
        <cfvo type="percent" val="0"/>
        <cfvo type="num" val="365"/>
        <cfvo type="num" val="547"/>
      </iconSet>
    </cfRule>
  </conditionalFormatting>
  <conditionalFormatting sqref="J29">
    <cfRule type="iconSet" priority="10">
      <iconSet iconSet="3Symbols" showValue="0">
        <cfvo type="percent" val="0"/>
        <cfvo type="num" val="365"/>
        <cfvo type="num" val="547"/>
      </iconSet>
    </cfRule>
  </conditionalFormatting>
  <conditionalFormatting sqref="J30 J32">
    <cfRule type="iconSet" priority="875">
      <iconSet iconSet="3Symbols" showValue="0">
        <cfvo type="percent" val="0"/>
        <cfvo type="num" val="365"/>
        <cfvo type="num" val="547"/>
      </iconSet>
    </cfRule>
  </conditionalFormatting>
  <conditionalFormatting sqref="J31">
    <cfRule type="iconSet" priority="12">
      <iconSet iconSet="3Symbols" showValue="0">
        <cfvo type="percent" val="0"/>
        <cfvo type="num" val="365"/>
        <cfvo type="num" val="547"/>
      </iconSet>
    </cfRule>
  </conditionalFormatting>
  <conditionalFormatting sqref="J33 J39:J40 J36">
    <cfRule type="iconSet" priority="48">
      <iconSet iconSet="3Symbols" showValue="0">
        <cfvo type="percent" val="0"/>
        <cfvo type="num" val="365"/>
        <cfvo type="num" val="547"/>
      </iconSet>
    </cfRule>
  </conditionalFormatting>
  <conditionalFormatting sqref="J34">
    <cfRule type="iconSet" priority="20">
      <iconSet iconSet="3Symbols" showValue="0">
        <cfvo type="percent" val="0"/>
        <cfvo type="num" val="365"/>
        <cfvo type="num" val="547"/>
      </iconSet>
    </cfRule>
  </conditionalFormatting>
  <conditionalFormatting sqref="J35">
    <cfRule type="iconSet" priority="4">
      <iconSet iconSet="3Symbols" showValue="0">
        <cfvo type="percent" val="0"/>
        <cfvo type="num" val="365"/>
        <cfvo type="num" val="547"/>
      </iconSet>
    </cfRule>
  </conditionalFormatting>
  <conditionalFormatting sqref="J37">
    <cfRule type="iconSet" priority="6">
      <iconSet iconSet="3Symbols" showValue="0">
        <cfvo type="percent" val="0"/>
        <cfvo type="num" val="365"/>
        <cfvo type="num" val="547"/>
      </iconSet>
    </cfRule>
  </conditionalFormatting>
  <conditionalFormatting sqref="J38">
    <cfRule type="iconSet" priority="24">
      <iconSet iconSet="3Symbols" showValue="0">
        <cfvo type="percent" val="0"/>
        <cfvo type="num" val="365"/>
        <cfvo type="num" val="547"/>
      </iconSet>
    </cfRule>
  </conditionalFormatting>
  <conditionalFormatting sqref="K2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D83B-8BB2-4A0B-9661-A21D017DF653}">
  <sheetPr codeName="Hoja6"/>
  <dimension ref="A1:Q40"/>
  <sheetViews>
    <sheetView showGridLines="0" zoomScale="80" zoomScaleNormal="80" workbookViewId="0">
      <pane ySplit="2" topLeftCell="A3" activePane="bottomLeft" state="frozen"/>
      <selection pane="bottomLeft" activeCell="G6" sqref="G6"/>
    </sheetView>
  </sheetViews>
  <sheetFormatPr baseColWidth="10" defaultRowHeight="17" x14ac:dyDescent="0.2"/>
  <cols>
    <col min="1" max="1" width="3.83203125" style="3" bestFit="1" customWidth="1"/>
    <col min="2" max="2" width="15.5" bestFit="1" customWidth="1"/>
    <col min="3" max="3" width="15.5" customWidth="1"/>
    <col min="4" max="4" width="12.6640625" hidden="1" customWidth="1"/>
    <col min="5" max="5" width="18.33203125" style="21" customWidth="1"/>
    <col min="6" max="6" width="11.83203125" style="18" hidden="1" customWidth="1"/>
    <col min="7" max="8" width="11.5" customWidth="1"/>
    <col min="9" max="9" width="14.6640625" customWidth="1"/>
    <col min="10" max="10" width="12" style="7" bestFit="1" customWidth="1"/>
    <col min="11" max="11" width="13.33203125" customWidth="1"/>
    <col min="12" max="12" width="5.6640625" hidden="1" customWidth="1"/>
    <col min="13" max="13" width="11.83203125" hidden="1" customWidth="1"/>
    <col min="14" max="14" width="2.6640625" hidden="1" customWidth="1"/>
    <col min="15" max="15" width="2.83203125" hidden="1" customWidth="1"/>
    <col min="16" max="16" width="3.1640625" hidden="1" customWidth="1"/>
    <col min="17" max="17" width="10.83203125" style="59"/>
    <col min="18" max="18" width="33.1640625" bestFit="1" customWidth="1"/>
  </cols>
  <sheetData>
    <row r="1" spans="1:17" ht="68.25" customHeight="1" x14ac:dyDescent="0.2">
      <c r="A1" s="72" t="s">
        <v>175</v>
      </c>
      <c r="B1" s="72"/>
      <c r="C1" s="72"/>
      <c r="D1" s="72"/>
      <c r="E1" s="72"/>
      <c r="F1" s="72"/>
      <c r="G1" s="72"/>
      <c r="H1" s="72"/>
      <c r="I1" s="72"/>
      <c r="J1" s="72"/>
      <c r="K1" s="13">
        <f ca="1">TODAY()</f>
        <v>46104</v>
      </c>
    </row>
    <row r="2" spans="1:17" ht="26" x14ac:dyDescent="0.2">
      <c r="A2" s="31" t="s">
        <v>18</v>
      </c>
      <c r="B2" s="31" t="s">
        <v>9</v>
      </c>
      <c r="C2" s="31" t="s">
        <v>10</v>
      </c>
      <c r="D2" s="32" t="s">
        <v>85</v>
      </c>
      <c r="E2" s="32" t="s">
        <v>11</v>
      </c>
      <c r="F2" s="33"/>
      <c r="G2" s="34" t="s">
        <v>66</v>
      </c>
      <c r="H2" s="34" t="s">
        <v>84</v>
      </c>
      <c r="I2" s="34" t="s">
        <v>86</v>
      </c>
      <c r="J2" s="31" t="s">
        <v>17</v>
      </c>
      <c r="K2" s="35" t="s">
        <v>12</v>
      </c>
    </row>
    <row r="3" spans="1:17" x14ac:dyDescent="0.2">
      <c r="A3" s="33">
        <v>1</v>
      </c>
      <c r="B3" s="1" t="s">
        <v>401</v>
      </c>
      <c r="C3" s="11" t="s">
        <v>402</v>
      </c>
      <c r="D3" s="11"/>
      <c r="E3" s="11" t="s">
        <v>29</v>
      </c>
      <c r="F3" s="12">
        <v>45838</v>
      </c>
      <c r="G3" s="19">
        <v>0</v>
      </c>
      <c r="H3" s="17">
        <v>39834</v>
      </c>
      <c r="I3" s="11" t="str">
        <f t="shared" ref="I3:I40" ca="1" si="0">_xlfn.FLOOR.MATH(M3)&amp;" años "&amp;P3&amp;" meses"</f>
        <v>17 años 2 meses</v>
      </c>
      <c r="J3" s="8">
        <f t="shared" ref="J3:J26" ca="1" si="1">F3-$K$1</f>
        <v>-266</v>
      </c>
      <c r="K3" s="11">
        <f t="shared" ref="K3:K40" ca="1" si="2">J3</f>
        <v>-266</v>
      </c>
      <c r="L3">
        <f t="shared" ref="L3:L26" ca="1" si="3">$K$1-H3</f>
        <v>6270</v>
      </c>
      <c r="M3">
        <f t="shared" ref="M3:M40" ca="1" si="4">L3/365</f>
        <v>17.17808219178082</v>
      </c>
      <c r="N3">
        <f t="shared" ref="N3:N40" ca="1" si="5">_xlfn.FLOOR.MATH(M3)</f>
        <v>17</v>
      </c>
      <c r="O3">
        <f t="shared" ref="O3:O40" ca="1" si="6">L3-(N3*365)</f>
        <v>65</v>
      </c>
      <c r="P3">
        <f t="shared" ref="P3:P40" ca="1" si="7">_xlfn.FLOOR.MATH(O3/30)</f>
        <v>2</v>
      </c>
    </row>
    <row r="4" spans="1:17" x14ac:dyDescent="0.2">
      <c r="A4" s="33">
        <v>2</v>
      </c>
      <c r="B4" s="1" t="s">
        <v>427</v>
      </c>
      <c r="C4" s="11" t="s">
        <v>428</v>
      </c>
      <c r="D4" s="11"/>
      <c r="E4" s="11" t="s">
        <v>29</v>
      </c>
      <c r="F4" s="12">
        <v>45838</v>
      </c>
      <c r="G4" s="19">
        <v>0</v>
      </c>
      <c r="H4" s="17">
        <v>39933</v>
      </c>
      <c r="I4" s="11" t="str">
        <f t="shared" ca="1" si="0"/>
        <v>16 años 11 meses</v>
      </c>
      <c r="J4" s="8">
        <f t="shared" ca="1" si="1"/>
        <v>-266</v>
      </c>
      <c r="K4" s="11">
        <f t="shared" ca="1" si="2"/>
        <v>-266</v>
      </c>
      <c r="L4">
        <f t="shared" ca="1" si="3"/>
        <v>6171</v>
      </c>
      <c r="M4">
        <f t="shared" ca="1" si="4"/>
        <v>16.906849315068492</v>
      </c>
      <c r="N4">
        <f t="shared" ca="1" si="5"/>
        <v>16</v>
      </c>
      <c r="O4">
        <f t="shared" ca="1" si="6"/>
        <v>331</v>
      </c>
      <c r="P4">
        <f t="shared" ca="1" si="7"/>
        <v>11</v>
      </c>
    </row>
    <row r="5" spans="1:17" x14ac:dyDescent="0.2">
      <c r="A5" s="33">
        <v>3</v>
      </c>
      <c r="B5" s="1" t="s">
        <v>403</v>
      </c>
      <c r="C5" s="11" t="s">
        <v>460</v>
      </c>
      <c r="D5" s="11"/>
      <c r="E5" s="11" t="s">
        <v>28</v>
      </c>
      <c r="F5" s="12">
        <v>45657</v>
      </c>
      <c r="G5" s="19">
        <v>0</v>
      </c>
      <c r="H5" s="17">
        <v>39956</v>
      </c>
      <c r="I5" s="11" t="str">
        <f t="shared" ca="1" si="0"/>
        <v>16 años 10 meses</v>
      </c>
      <c r="J5" s="8">
        <f t="shared" ca="1" si="1"/>
        <v>-447</v>
      </c>
      <c r="K5" s="11">
        <f t="shared" ca="1" si="2"/>
        <v>-447</v>
      </c>
      <c r="L5">
        <f t="shared" ca="1" si="3"/>
        <v>6148</v>
      </c>
      <c r="M5">
        <f t="shared" ca="1" si="4"/>
        <v>16.843835616438355</v>
      </c>
      <c r="N5">
        <f t="shared" ca="1" si="5"/>
        <v>16</v>
      </c>
      <c r="O5">
        <f t="shared" ca="1" si="6"/>
        <v>308</v>
      </c>
      <c r="P5">
        <f t="shared" ca="1" si="7"/>
        <v>10</v>
      </c>
      <c r="Q5" s="55"/>
    </row>
    <row r="6" spans="1:17" x14ac:dyDescent="0.2">
      <c r="A6" s="33">
        <v>4</v>
      </c>
      <c r="B6" s="1" t="s">
        <v>470</v>
      </c>
      <c r="C6" s="11" t="s">
        <v>460</v>
      </c>
      <c r="D6" s="11"/>
      <c r="E6" s="11" t="s">
        <v>28</v>
      </c>
      <c r="F6" s="12">
        <v>45657</v>
      </c>
      <c r="G6" s="19">
        <v>0</v>
      </c>
      <c r="H6" s="17">
        <v>40465</v>
      </c>
      <c r="I6" s="11" t="str">
        <f t="shared" ca="1" si="0"/>
        <v>15 años 5 meses</v>
      </c>
      <c r="J6" s="8">
        <f t="shared" ca="1" si="1"/>
        <v>-447</v>
      </c>
      <c r="K6" s="11">
        <f t="shared" ca="1" si="2"/>
        <v>-447</v>
      </c>
      <c r="L6">
        <f t="shared" ca="1" si="3"/>
        <v>5639</v>
      </c>
      <c r="M6">
        <f t="shared" ca="1" si="4"/>
        <v>15.449315068493151</v>
      </c>
      <c r="N6">
        <f t="shared" ca="1" si="5"/>
        <v>15</v>
      </c>
      <c r="O6">
        <f t="shared" ca="1" si="6"/>
        <v>164</v>
      </c>
      <c r="P6">
        <f t="shared" ca="1" si="7"/>
        <v>5</v>
      </c>
    </row>
    <row r="7" spans="1:17" x14ac:dyDescent="0.2">
      <c r="A7" s="33">
        <v>5</v>
      </c>
      <c r="B7" s="1" t="s">
        <v>349</v>
      </c>
      <c r="C7" s="11" t="s">
        <v>350</v>
      </c>
      <c r="D7" s="11"/>
      <c r="E7" s="11" t="s">
        <v>29</v>
      </c>
      <c r="F7" s="12">
        <v>45838</v>
      </c>
      <c r="G7" s="19">
        <v>0</v>
      </c>
      <c r="H7" s="17">
        <v>39987</v>
      </c>
      <c r="I7" s="11" t="str">
        <f t="shared" ca="1" si="0"/>
        <v>16 años 9 meses</v>
      </c>
      <c r="J7" s="8">
        <f t="shared" ca="1" si="1"/>
        <v>-266</v>
      </c>
      <c r="K7" s="11">
        <f t="shared" ca="1" si="2"/>
        <v>-266</v>
      </c>
      <c r="L7">
        <f t="shared" ca="1" si="3"/>
        <v>6117</v>
      </c>
      <c r="M7">
        <f t="shared" ca="1" si="4"/>
        <v>16.758904109589039</v>
      </c>
      <c r="N7">
        <f t="shared" ca="1" si="5"/>
        <v>16</v>
      </c>
      <c r="O7">
        <f t="shared" ca="1" si="6"/>
        <v>277</v>
      </c>
      <c r="P7">
        <f t="shared" ca="1" si="7"/>
        <v>9</v>
      </c>
    </row>
    <row r="8" spans="1:17" x14ac:dyDescent="0.2">
      <c r="A8" s="33">
        <v>6</v>
      </c>
      <c r="B8" s="1" t="s">
        <v>410</v>
      </c>
      <c r="C8" s="11" t="s">
        <v>411</v>
      </c>
      <c r="D8" s="11"/>
      <c r="E8" s="11" t="s">
        <v>29</v>
      </c>
      <c r="F8" s="12">
        <v>45838</v>
      </c>
      <c r="G8" s="19">
        <v>0</v>
      </c>
      <c r="H8" s="17">
        <v>40107</v>
      </c>
      <c r="I8" s="11" t="str">
        <f t="shared" ca="1" si="0"/>
        <v>16 años 5 meses</v>
      </c>
      <c r="J8" s="8">
        <f t="shared" ca="1" si="1"/>
        <v>-266</v>
      </c>
      <c r="K8" s="11">
        <f t="shared" ca="1" si="2"/>
        <v>-266</v>
      </c>
      <c r="L8">
        <f t="shared" ca="1" si="3"/>
        <v>5997</v>
      </c>
      <c r="M8">
        <f t="shared" ca="1" si="4"/>
        <v>16.43013698630137</v>
      </c>
      <c r="N8">
        <f t="shared" ca="1" si="5"/>
        <v>16</v>
      </c>
      <c r="O8">
        <f t="shared" ca="1" si="6"/>
        <v>157</v>
      </c>
      <c r="P8">
        <f t="shared" ca="1" si="7"/>
        <v>5</v>
      </c>
    </row>
    <row r="9" spans="1:17" x14ac:dyDescent="0.2">
      <c r="A9" s="33">
        <v>7</v>
      </c>
      <c r="B9" s="1" t="s">
        <v>259</v>
      </c>
      <c r="C9" s="11" t="s">
        <v>260</v>
      </c>
      <c r="D9" s="11"/>
      <c r="E9" s="11" t="s">
        <v>27</v>
      </c>
      <c r="F9" s="12">
        <v>45473</v>
      </c>
      <c r="G9" s="19">
        <v>0</v>
      </c>
      <c r="H9" s="17">
        <v>39557</v>
      </c>
      <c r="I9" s="11" t="str">
        <f t="shared" ca="1" si="0"/>
        <v>17 años 11 meses</v>
      </c>
      <c r="J9" s="8">
        <f t="shared" ca="1" si="1"/>
        <v>-631</v>
      </c>
      <c r="K9" s="11">
        <f t="shared" ca="1" si="2"/>
        <v>-631</v>
      </c>
      <c r="L9">
        <f t="shared" ca="1" si="3"/>
        <v>6547</v>
      </c>
      <c r="M9">
        <f t="shared" ca="1" si="4"/>
        <v>17.936986301369863</v>
      </c>
      <c r="N9">
        <f t="shared" ca="1" si="5"/>
        <v>17</v>
      </c>
      <c r="O9">
        <f t="shared" ca="1" si="6"/>
        <v>342</v>
      </c>
      <c r="P9">
        <f t="shared" ca="1" si="7"/>
        <v>11</v>
      </c>
      <c r="Q9" s="59" t="s">
        <v>459</v>
      </c>
    </row>
    <row r="10" spans="1:17" x14ac:dyDescent="0.2">
      <c r="A10" s="33">
        <v>8</v>
      </c>
      <c r="B10" s="1" t="s">
        <v>424</v>
      </c>
      <c r="C10" s="11" t="s">
        <v>425</v>
      </c>
      <c r="D10" s="11"/>
      <c r="E10" s="11" t="s">
        <v>29</v>
      </c>
      <c r="F10" s="12">
        <v>45838</v>
      </c>
      <c r="G10" s="19">
        <v>0</v>
      </c>
      <c r="H10" s="17">
        <v>40024</v>
      </c>
      <c r="I10" s="11" t="str">
        <f t="shared" ca="1" si="0"/>
        <v>16 años 8 meses</v>
      </c>
      <c r="J10" s="8">
        <f t="shared" ca="1" si="1"/>
        <v>-266</v>
      </c>
      <c r="K10" s="11">
        <f t="shared" ca="1" si="2"/>
        <v>-266</v>
      </c>
      <c r="L10">
        <f t="shared" ca="1" si="3"/>
        <v>6080</v>
      </c>
      <c r="M10">
        <f t="shared" ca="1" si="4"/>
        <v>16.657534246575342</v>
      </c>
      <c r="N10">
        <f t="shared" ca="1" si="5"/>
        <v>16</v>
      </c>
      <c r="O10">
        <f t="shared" ca="1" si="6"/>
        <v>240</v>
      </c>
      <c r="P10">
        <f t="shared" ca="1" si="7"/>
        <v>8</v>
      </c>
    </row>
    <row r="11" spans="1:17" x14ac:dyDescent="0.2">
      <c r="A11" s="33">
        <v>9</v>
      </c>
      <c r="B11" s="11" t="s">
        <v>418</v>
      </c>
      <c r="C11" s="11" t="s">
        <v>419</v>
      </c>
      <c r="D11" s="11"/>
      <c r="E11" s="11" t="s">
        <v>29</v>
      </c>
      <c r="F11" s="12">
        <v>45838</v>
      </c>
      <c r="G11" s="19">
        <v>0</v>
      </c>
      <c r="H11" s="17">
        <v>39827</v>
      </c>
      <c r="I11" s="11" t="str">
        <f t="shared" ca="1" si="0"/>
        <v>17 años 2 meses</v>
      </c>
      <c r="J11" s="8">
        <f t="shared" ca="1" si="1"/>
        <v>-266</v>
      </c>
      <c r="K11" s="11">
        <f t="shared" ca="1" si="2"/>
        <v>-266</v>
      </c>
      <c r="L11">
        <f t="shared" ca="1" si="3"/>
        <v>6277</v>
      </c>
      <c r="M11">
        <f t="shared" ca="1" si="4"/>
        <v>17.197260273972603</v>
      </c>
      <c r="N11">
        <f t="shared" ca="1" si="5"/>
        <v>17</v>
      </c>
      <c r="O11">
        <f t="shared" ca="1" si="6"/>
        <v>72</v>
      </c>
      <c r="P11">
        <f t="shared" ca="1" si="7"/>
        <v>2</v>
      </c>
    </row>
    <row r="12" spans="1:17" x14ac:dyDescent="0.2">
      <c r="A12" s="33">
        <v>10</v>
      </c>
      <c r="B12" s="1" t="s">
        <v>403</v>
      </c>
      <c r="C12" s="11" t="s">
        <v>404</v>
      </c>
      <c r="D12" s="11"/>
      <c r="E12" s="11" t="s">
        <v>29</v>
      </c>
      <c r="F12" s="12">
        <v>45838</v>
      </c>
      <c r="G12" s="19">
        <v>0</v>
      </c>
      <c r="H12" s="17">
        <v>39932</v>
      </c>
      <c r="I12" s="11" t="str">
        <f t="shared" ca="1" si="0"/>
        <v>16 años 11 meses</v>
      </c>
      <c r="J12" s="8">
        <f t="shared" ca="1" si="1"/>
        <v>-266</v>
      </c>
      <c r="K12" s="11">
        <f t="shared" ca="1" si="2"/>
        <v>-266</v>
      </c>
      <c r="L12">
        <f t="shared" ca="1" si="3"/>
        <v>6172</v>
      </c>
      <c r="M12">
        <f t="shared" ca="1" si="4"/>
        <v>16.909589041095892</v>
      </c>
      <c r="N12">
        <f t="shared" ca="1" si="5"/>
        <v>16</v>
      </c>
      <c r="O12">
        <f t="shared" ca="1" si="6"/>
        <v>332</v>
      </c>
      <c r="P12">
        <f t="shared" ca="1" si="7"/>
        <v>11</v>
      </c>
    </row>
    <row r="13" spans="1:17" x14ac:dyDescent="0.2">
      <c r="A13" s="33">
        <v>11</v>
      </c>
      <c r="B13" s="1" t="s">
        <v>274</v>
      </c>
      <c r="C13" s="11" t="s">
        <v>275</v>
      </c>
      <c r="D13" s="11"/>
      <c r="E13" s="11" t="s">
        <v>27</v>
      </c>
      <c r="F13" s="12">
        <v>45473</v>
      </c>
      <c r="G13" s="19">
        <v>0</v>
      </c>
      <c r="H13" s="17">
        <v>39661</v>
      </c>
      <c r="I13" s="11" t="str">
        <f t="shared" ca="1" si="0"/>
        <v>17 años 7 meses</v>
      </c>
      <c r="J13" s="8">
        <f t="shared" ca="1" si="1"/>
        <v>-631</v>
      </c>
      <c r="K13" s="11">
        <f t="shared" ca="1" si="2"/>
        <v>-631</v>
      </c>
      <c r="L13">
        <f t="shared" ca="1" si="3"/>
        <v>6443</v>
      </c>
      <c r="M13">
        <f t="shared" ca="1" si="4"/>
        <v>17.652054794520549</v>
      </c>
      <c r="N13">
        <f t="shared" ca="1" si="5"/>
        <v>17</v>
      </c>
      <c r="O13">
        <f t="shared" ca="1" si="6"/>
        <v>238</v>
      </c>
      <c r="P13">
        <f t="shared" ca="1" si="7"/>
        <v>7</v>
      </c>
      <c r="Q13" s="59" t="s">
        <v>459</v>
      </c>
    </row>
    <row r="14" spans="1:17" x14ac:dyDescent="0.2">
      <c r="A14" s="33">
        <v>12</v>
      </c>
      <c r="B14" s="1" t="s">
        <v>319</v>
      </c>
      <c r="C14" s="11" t="s">
        <v>478</v>
      </c>
      <c r="D14" s="11"/>
      <c r="E14" s="11" t="s">
        <v>29</v>
      </c>
      <c r="F14" s="12">
        <v>45838</v>
      </c>
      <c r="G14" s="19">
        <v>0</v>
      </c>
      <c r="H14" s="17">
        <v>39857</v>
      </c>
      <c r="I14" s="11" t="str">
        <f t="shared" ca="1" si="0"/>
        <v>17 años 1 meses</v>
      </c>
      <c r="J14" s="8">
        <f t="shared" ca="1" si="1"/>
        <v>-266</v>
      </c>
      <c r="K14" s="11">
        <f t="shared" ca="1" si="2"/>
        <v>-266</v>
      </c>
      <c r="L14">
        <f t="shared" ca="1" si="3"/>
        <v>6247</v>
      </c>
      <c r="M14">
        <f t="shared" ca="1" si="4"/>
        <v>17.115068493150684</v>
      </c>
      <c r="N14">
        <f t="shared" ca="1" si="5"/>
        <v>17</v>
      </c>
      <c r="O14">
        <f t="shared" ca="1" si="6"/>
        <v>42</v>
      </c>
      <c r="P14">
        <f t="shared" ca="1" si="7"/>
        <v>1</v>
      </c>
    </row>
    <row r="15" spans="1:17" x14ac:dyDescent="0.2">
      <c r="A15" s="33">
        <v>13</v>
      </c>
      <c r="B15" s="1" t="s">
        <v>405</v>
      </c>
      <c r="C15" s="11" t="s">
        <v>406</v>
      </c>
      <c r="D15" s="11"/>
      <c r="E15" s="11" t="s">
        <v>29</v>
      </c>
      <c r="F15" s="12">
        <v>45838</v>
      </c>
      <c r="G15" s="19">
        <v>0</v>
      </c>
      <c r="H15" s="17">
        <v>39904</v>
      </c>
      <c r="I15" s="11" t="str">
        <f t="shared" ca="1" si="0"/>
        <v>16 años 12 meses</v>
      </c>
      <c r="J15" s="8">
        <f t="shared" ca="1" si="1"/>
        <v>-266</v>
      </c>
      <c r="K15" s="11">
        <f t="shared" ca="1" si="2"/>
        <v>-266</v>
      </c>
      <c r="L15">
        <f t="shared" ca="1" si="3"/>
        <v>6200</v>
      </c>
      <c r="M15">
        <f t="shared" ca="1" si="4"/>
        <v>16.986301369863014</v>
      </c>
      <c r="N15">
        <f t="shared" ca="1" si="5"/>
        <v>16</v>
      </c>
      <c r="O15">
        <f t="shared" ca="1" si="6"/>
        <v>360</v>
      </c>
      <c r="P15">
        <f t="shared" ca="1" si="7"/>
        <v>12</v>
      </c>
    </row>
    <row r="16" spans="1:17" x14ac:dyDescent="0.2">
      <c r="A16" s="33">
        <v>14</v>
      </c>
      <c r="B16" s="1" t="s">
        <v>282</v>
      </c>
      <c r="C16" s="11" t="s">
        <v>283</v>
      </c>
      <c r="D16" s="11"/>
      <c r="E16" s="11" t="s">
        <v>31</v>
      </c>
      <c r="F16" s="12">
        <v>46203</v>
      </c>
      <c r="G16" s="19">
        <v>0</v>
      </c>
      <c r="H16" s="17">
        <v>39864</v>
      </c>
      <c r="I16" s="11" t="str">
        <f t="shared" ca="1" si="0"/>
        <v>17 años 1 meses</v>
      </c>
      <c r="J16" s="8">
        <f t="shared" ca="1" si="1"/>
        <v>99</v>
      </c>
      <c r="K16" s="11">
        <f t="shared" ca="1" si="2"/>
        <v>99</v>
      </c>
      <c r="L16">
        <f t="shared" ca="1" si="3"/>
        <v>6240</v>
      </c>
      <c r="M16">
        <f t="shared" ca="1" si="4"/>
        <v>17.095890410958905</v>
      </c>
      <c r="N16">
        <f t="shared" ca="1" si="5"/>
        <v>17</v>
      </c>
      <c r="O16">
        <f t="shared" ca="1" si="6"/>
        <v>35</v>
      </c>
      <c r="P16">
        <f t="shared" ca="1" si="7"/>
        <v>1</v>
      </c>
      <c r="Q16" s="59" t="s">
        <v>542</v>
      </c>
    </row>
    <row r="17" spans="1:17" x14ac:dyDescent="0.2">
      <c r="A17" s="33">
        <v>15</v>
      </c>
      <c r="B17" s="1" t="s">
        <v>276</v>
      </c>
      <c r="C17" s="11" t="s">
        <v>277</v>
      </c>
      <c r="D17" s="11"/>
      <c r="E17" s="11" t="s">
        <v>31</v>
      </c>
      <c r="F17" s="12">
        <v>46203</v>
      </c>
      <c r="G17" s="19">
        <v>0</v>
      </c>
      <c r="H17" s="17">
        <v>39982</v>
      </c>
      <c r="I17" s="11" t="str">
        <f t="shared" ca="1" si="0"/>
        <v>16 años 9 meses</v>
      </c>
      <c r="J17" s="8">
        <f t="shared" ca="1" si="1"/>
        <v>99</v>
      </c>
      <c r="K17" s="11">
        <f t="shared" ca="1" si="2"/>
        <v>99</v>
      </c>
      <c r="L17">
        <f t="shared" ca="1" si="3"/>
        <v>6122</v>
      </c>
      <c r="M17">
        <f t="shared" ca="1" si="4"/>
        <v>16.772602739726029</v>
      </c>
      <c r="N17">
        <f t="shared" ca="1" si="5"/>
        <v>16</v>
      </c>
      <c r="O17">
        <f t="shared" ca="1" si="6"/>
        <v>282</v>
      </c>
      <c r="P17">
        <f t="shared" ca="1" si="7"/>
        <v>9</v>
      </c>
    </row>
    <row r="18" spans="1:17" x14ac:dyDescent="0.2">
      <c r="A18" s="33">
        <v>16</v>
      </c>
      <c r="B18" s="1" t="s">
        <v>263</v>
      </c>
      <c r="C18" s="11" t="s">
        <v>264</v>
      </c>
      <c r="D18" s="11"/>
      <c r="E18" s="11" t="s">
        <v>31</v>
      </c>
      <c r="F18" s="12">
        <v>46203</v>
      </c>
      <c r="G18" s="19">
        <v>0</v>
      </c>
      <c r="H18" s="17">
        <v>39940</v>
      </c>
      <c r="I18" s="11" t="str">
        <f t="shared" ca="1" si="0"/>
        <v>16 años 10 meses</v>
      </c>
      <c r="J18" s="8">
        <f t="shared" ca="1" si="1"/>
        <v>99</v>
      </c>
      <c r="K18" s="11">
        <f t="shared" ca="1" si="2"/>
        <v>99</v>
      </c>
      <c r="L18">
        <f t="shared" ca="1" si="3"/>
        <v>6164</v>
      </c>
      <c r="M18">
        <f t="shared" ca="1" si="4"/>
        <v>16.887671232876713</v>
      </c>
      <c r="N18">
        <f t="shared" ca="1" si="5"/>
        <v>16</v>
      </c>
      <c r="O18">
        <f t="shared" ca="1" si="6"/>
        <v>324</v>
      </c>
      <c r="P18">
        <f t="shared" ca="1" si="7"/>
        <v>10</v>
      </c>
      <c r="Q18" s="55"/>
    </row>
    <row r="19" spans="1:17" x14ac:dyDescent="0.2">
      <c r="A19" s="33">
        <v>17</v>
      </c>
      <c r="B19" s="11" t="s">
        <v>221</v>
      </c>
      <c r="C19" s="11" t="s">
        <v>222</v>
      </c>
      <c r="D19" s="11"/>
      <c r="E19" s="11" t="s">
        <v>28</v>
      </c>
      <c r="F19" s="12">
        <v>45657</v>
      </c>
      <c r="G19" s="19">
        <v>0</v>
      </c>
      <c r="H19" s="17">
        <v>39684</v>
      </c>
      <c r="I19" s="11" t="str">
        <f t="shared" ca="1" si="0"/>
        <v>17 años 7 meses</v>
      </c>
      <c r="J19" s="8">
        <f t="shared" ca="1" si="1"/>
        <v>-447</v>
      </c>
      <c r="K19" s="11">
        <f t="shared" ca="1" si="2"/>
        <v>-447</v>
      </c>
      <c r="L19">
        <f t="shared" ca="1" si="3"/>
        <v>6420</v>
      </c>
      <c r="M19">
        <f t="shared" ca="1" si="4"/>
        <v>17.589041095890412</v>
      </c>
      <c r="N19">
        <f t="shared" ca="1" si="5"/>
        <v>17</v>
      </c>
      <c r="O19">
        <f t="shared" ca="1" si="6"/>
        <v>215</v>
      </c>
      <c r="P19">
        <f t="shared" ca="1" si="7"/>
        <v>7</v>
      </c>
      <c r="Q19" s="59" t="s">
        <v>459</v>
      </c>
    </row>
    <row r="20" spans="1:17" x14ac:dyDescent="0.2">
      <c r="A20" s="33">
        <v>18</v>
      </c>
      <c r="B20" s="1" t="s">
        <v>263</v>
      </c>
      <c r="C20" s="11" t="s">
        <v>467</v>
      </c>
      <c r="D20" s="11"/>
      <c r="E20" s="11" t="s">
        <v>28</v>
      </c>
      <c r="F20" s="12">
        <v>45657</v>
      </c>
      <c r="G20" s="19">
        <v>0</v>
      </c>
      <c r="H20" s="17">
        <v>39852</v>
      </c>
      <c r="I20" s="11" t="str">
        <f t="shared" ca="1" si="0"/>
        <v>17 años 1 meses</v>
      </c>
      <c r="J20" s="8">
        <f t="shared" ca="1" si="1"/>
        <v>-447</v>
      </c>
      <c r="K20" s="11">
        <f t="shared" ca="1" si="2"/>
        <v>-447</v>
      </c>
      <c r="L20">
        <f t="shared" ca="1" si="3"/>
        <v>6252</v>
      </c>
      <c r="M20">
        <f t="shared" ca="1" si="4"/>
        <v>17.12876712328767</v>
      </c>
      <c r="N20">
        <f t="shared" ca="1" si="5"/>
        <v>17</v>
      </c>
      <c r="O20">
        <f t="shared" ca="1" si="6"/>
        <v>47</v>
      </c>
      <c r="P20">
        <f t="shared" ca="1" si="7"/>
        <v>1</v>
      </c>
      <c r="Q20" s="55"/>
    </row>
    <row r="21" spans="1:17" x14ac:dyDescent="0.2">
      <c r="A21" s="33">
        <v>19</v>
      </c>
      <c r="B21" s="1" t="s">
        <v>461</v>
      </c>
      <c r="C21" s="11" t="s">
        <v>462</v>
      </c>
      <c r="D21" s="11"/>
      <c r="E21" s="11" t="s">
        <v>28</v>
      </c>
      <c r="F21" s="12">
        <v>45657</v>
      </c>
      <c r="G21" s="19">
        <v>0</v>
      </c>
      <c r="H21" s="17">
        <v>39826</v>
      </c>
      <c r="I21" s="11" t="str">
        <f t="shared" ca="1" si="0"/>
        <v>17 años 2 meses</v>
      </c>
      <c r="J21" s="8">
        <f t="shared" ca="1" si="1"/>
        <v>-447</v>
      </c>
      <c r="K21" s="11">
        <f t="shared" ca="1" si="2"/>
        <v>-447</v>
      </c>
      <c r="L21">
        <f t="shared" ca="1" si="3"/>
        <v>6278</v>
      </c>
      <c r="M21">
        <f t="shared" ca="1" si="4"/>
        <v>17.2</v>
      </c>
      <c r="N21">
        <f t="shared" ca="1" si="5"/>
        <v>17</v>
      </c>
      <c r="O21">
        <f t="shared" ca="1" si="6"/>
        <v>73</v>
      </c>
      <c r="P21">
        <f t="shared" ca="1" si="7"/>
        <v>2</v>
      </c>
    </row>
    <row r="22" spans="1:17" x14ac:dyDescent="0.2">
      <c r="A22" s="33">
        <v>20</v>
      </c>
      <c r="B22" s="1" t="s">
        <v>347</v>
      </c>
      <c r="C22" s="11" t="s">
        <v>348</v>
      </c>
      <c r="D22" s="11"/>
      <c r="E22" s="11" t="s">
        <v>29</v>
      </c>
      <c r="F22" s="12">
        <v>45838</v>
      </c>
      <c r="G22" s="19">
        <v>0</v>
      </c>
      <c r="H22" s="17">
        <v>40025</v>
      </c>
      <c r="I22" s="11" t="str">
        <f t="shared" ca="1" si="0"/>
        <v>16 años 7 meses</v>
      </c>
      <c r="J22" s="8">
        <f t="shared" ca="1" si="1"/>
        <v>-266</v>
      </c>
      <c r="K22" s="11">
        <f t="shared" ca="1" si="2"/>
        <v>-266</v>
      </c>
      <c r="L22">
        <f t="shared" ca="1" si="3"/>
        <v>6079</v>
      </c>
      <c r="M22">
        <f t="shared" ca="1" si="4"/>
        <v>16.654794520547945</v>
      </c>
      <c r="N22">
        <f t="shared" ca="1" si="5"/>
        <v>16</v>
      </c>
      <c r="O22">
        <f t="shared" ca="1" si="6"/>
        <v>239</v>
      </c>
      <c r="P22">
        <f t="shared" ca="1" si="7"/>
        <v>7</v>
      </c>
    </row>
    <row r="23" spans="1:17" x14ac:dyDescent="0.2">
      <c r="A23" s="33">
        <v>21</v>
      </c>
      <c r="B23" s="1" t="s">
        <v>422</v>
      </c>
      <c r="C23" s="11" t="s">
        <v>423</v>
      </c>
      <c r="D23" s="11"/>
      <c r="E23" s="11" t="s">
        <v>29</v>
      </c>
      <c r="F23" s="12">
        <v>45838</v>
      </c>
      <c r="G23" s="19">
        <v>0</v>
      </c>
      <c r="H23" s="17">
        <v>39973</v>
      </c>
      <c r="I23" s="11" t="str">
        <f t="shared" ca="1" si="0"/>
        <v>16 años 9 meses</v>
      </c>
      <c r="J23" s="8">
        <f t="shared" ca="1" si="1"/>
        <v>-266</v>
      </c>
      <c r="K23" s="11">
        <f t="shared" ca="1" si="2"/>
        <v>-266</v>
      </c>
      <c r="L23">
        <f t="shared" ca="1" si="3"/>
        <v>6131</v>
      </c>
      <c r="M23">
        <f t="shared" ca="1" si="4"/>
        <v>16.797260273972604</v>
      </c>
      <c r="N23">
        <f t="shared" ca="1" si="5"/>
        <v>16</v>
      </c>
      <c r="O23">
        <f t="shared" ca="1" si="6"/>
        <v>291</v>
      </c>
      <c r="P23">
        <f t="shared" ca="1" si="7"/>
        <v>9</v>
      </c>
    </row>
    <row r="24" spans="1:17" x14ac:dyDescent="0.2">
      <c r="A24" s="33">
        <v>22</v>
      </c>
      <c r="B24" s="1" t="s">
        <v>256</v>
      </c>
      <c r="C24" s="11" t="s">
        <v>257</v>
      </c>
      <c r="D24" s="11"/>
      <c r="E24" s="11" t="s">
        <v>29</v>
      </c>
      <c r="F24" s="12">
        <v>45838</v>
      </c>
      <c r="G24" s="19">
        <v>0</v>
      </c>
      <c r="H24" s="17">
        <v>39907</v>
      </c>
      <c r="I24" s="11" t="str">
        <f t="shared" ca="1" si="0"/>
        <v>16 años 11 meses</v>
      </c>
      <c r="J24" s="8">
        <f t="shared" ca="1" si="1"/>
        <v>-266</v>
      </c>
      <c r="K24" s="11">
        <f t="shared" ca="1" si="2"/>
        <v>-266</v>
      </c>
      <c r="L24">
        <f t="shared" ca="1" si="3"/>
        <v>6197</v>
      </c>
      <c r="M24">
        <f t="shared" ca="1" si="4"/>
        <v>16.978082191780821</v>
      </c>
      <c r="N24">
        <f t="shared" ca="1" si="5"/>
        <v>16</v>
      </c>
      <c r="O24">
        <f t="shared" ca="1" si="6"/>
        <v>357</v>
      </c>
      <c r="P24">
        <f t="shared" ca="1" si="7"/>
        <v>11</v>
      </c>
    </row>
    <row r="25" spans="1:17" x14ac:dyDescent="0.2">
      <c r="A25" s="33">
        <v>23</v>
      </c>
      <c r="B25" s="1" t="s">
        <v>471</v>
      </c>
      <c r="C25" s="11" t="s">
        <v>472</v>
      </c>
      <c r="D25" s="11"/>
      <c r="E25" s="11" t="s">
        <v>29</v>
      </c>
      <c r="F25" s="12">
        <v>45838</v>
      </c>
      <c r="G25" s="19">
        <v>0</v>
      </c>
      <c r="H25" s="17">
        <v>39877</v>
      </c>
      <c r="I25" s="11" t="str">
        <f t="shared" ca="1" si="0"/>
        <v>17 años 0 meses</v>
      </c>
      <c r="J25" s="8">
        <f t="shared" ca="1" si="1"/>
        <v>-266</v>
      </c>
      <c r="K25" s="11">
        <f t="shared" ca="1" si="2"/>
        <v>-266</v>
      </c>
      <c r="L25">
        <f t="shared" ca="1" si="3"/>
        <v>6227</v>
      </c>
      <c r="M25">
        <f t="shared" ca="1" si="4"/>
        <v>17.06027397260274</v>
      </c>
      <c r="N25">
        <f t="shared" ca="1" si="5"/>
        <v>17</v>
      </c>
      <c r="O25">
        <f t="shared" ca="1" si="6"/>
        <v>22</v>
      </c>
      <c r="P25">
        <f t="shared" ca="1" si="7"/>
        <v>0</v>
      </c>
    </row>
    <row r="26" spans="1:17" x14ac:dyDescent="0.2">
      <c r="A26" s="33">
        <v>24</v>
      </c>
      <c r="B26" s="1" t="s">
        <v>465</v>
      </c>
      <c r="C26" s="11" t="s">
        <v>466</v>
      </c>
      <c r="D26" s="11"/>
      <c r="E26" s="11" t="s">
        <v>28</v>
      </c>
      <c r="F26" s="12">
        <v>45657</v>
      </c>
      <c r="G26" s="19">
        <v>0</v>
      </c>
      <c r="H26" s="17">
        <v>39886</v>
      </c>
      <c r="I26" s="11" t="str">
        <f t="shared" ca="1" si="0"/>
        <v>17 años 0 meses</v>
      </c>
      <c r="J26" s="8">
        <f t="shared" ca="1" si="1"/>
        <v>-447</v>
      </c>
      <c r="K26" s="11">
        <f t="shared" ca="1" si="2"/>
        <v>-447</v>
      </c>
      <c r="L26">
        <f t="shared" ca="1" si="3"/>
        <v>6218</v>
      </c>
      <c r="M26">
        <f t="shared" ca="1" si="4"/>
        <v>17.035616438356165</v>
      </c>
      <c r="N26">
        <f t="shared" ca="1" si="5"/>
        <v>17</v>
      </c>
      <c r="O26">
        <f t="shared" ca="1" si="6"/>
        <v>13</v>
      </c>
      <c r="P26">
        <f t="shared" ca="1" si="7"/>
        <v>0</v>
      </c>
    </row>
    <row r="27" spans="1:17" x14ac:dyDescent="0.2">
      <c r="A27" s="33">
        <v>25</v>
      </c>
      <c r="B27" s="11" t="s">
        <v>413</v>
      </c>
      <c r="C27" s="11" t="s">
        <v>412</v>
      </c>
      <c r="D27" s="11"/>
      <c r="E27" s="11" t="s">
        <v>29</v>
      </c>
      <c r="F27" s="12">
        <v>45838</v>
      </c>
      <c r="G27" s="19">
        <v>0</v>
      </c>
      <c r="H27" s="20">
        <v>39984</v>
      </c>
      <c r="I27" s="11" t="str">
        <f t="shared" ca="1" si="0"/>
        <v>16 años 9 meses</v>
      </c>
      <c r="J27" s="8">
        <f ca="1">F27-'Sub16'!$K$1</f>
        <v>-266</v>
      </c>
      <c r="K27" s="11">
        <f t="shared" ca="1" si="2"/>
        <v>-266</v>
      </c>
      <c r="L27">
        <f ca="1">'Sub16'!$K$1-H27</f>
        <v>6120</v>
      </c>
      <c r="M27">
        <f t="shared" ca="1" si="4"/>
        <v>16.767123287671232</v>
      </c>
      <c r="N27">
        <f t="shared" ca="1" si="5"/>
        <v>16</v>
      </c>
      <c r="O27">
        <f t="shared" ca="1" si="6"/>
        <v>280</v>
      </c>
      <c r="P27">
        <f t="shared" ca="1" si="7"/>
        <v>9</v>
      </c>
      <c r="Q27" s="59" t="s">
        <v>320</v>
      </c>
    </row>
    <row r="28" spans="1:17" x14ac:dyDescent="0.2">
      <c r="A28" s="33">
        <v>26</v>
      </c>
      <c r="B28" s="1" t="s">
        <v>475</v>
      </c>
      <c r="C28" s="11" t="s">
        <v>476</v>
      </c>
      <c r="D28" s="11"/>
      <c r="E28" s="11" t="s">
        <v>29</v>
      </c>
      <c r="F28" s="12">
        <v>45838</v>
      </c>
      <c r="G28" s="19">
        <v>0</v>
      </c>
      <c r="H28" s="17">
        <v>40333</v>
      </c>
      <c r="I28" s="11" t="str">
        <f t="shared" ca="1" si="0"/>
        <v>15 años 9 meses</v>
      </c>
      <c r="J28" s="8">
        <f t="shared" ref="J28:J40" ca="1" si="8">F28-$K$1</f>
        <v>-266</v>
      </c>
      <c r="K28" s="11">
        <f t="shared" ca="1" si="2"/>
        <v>-266</v>
      </c>
      <c r="L28">
        <f t="shared" ref="L28:L40" ca="1" si="9">$K$1-H28</f>
        <v>5771</v>
      </c>
      <c r="M28">
        <f t="shared" ca="1" si="4"/>
        <v>15.810958904109588</v>
      </c>
      <c r="N28">
        <f t="shared" ca="1" si="5"/>
        <v>15</v>
      </c>
      <c r="O28">
        <f t="shared" ca="1" si="6"/>
        <v>296</v>
      </c>
      <c r="P28">
        <f t="shared" ca="1" si="7"/>
        <v>9</v>
      </c>
    </row>
    <row r="29" spans="1:17" x14ac:dyDescent="0.2">
      <c r="A29" s="33">
        <v>27</v>
      </c>
      <c r="B29" s="11" t="s">
        <v>416</v>
      </c>
      <c r="C29" s="11" t="s">
        <v>417</v>
      </c>
      <c r="D29" s="11"/>
      <c r="E29" s="11" t="s">
        <v>29</v>
      </c>
      <c r="F29" s="12">
        <v>45838</v>
      </c>
      <c r="G29" s="19">
        <v>0</v>
      </c>
      <c r="H29" s="17">
        <v>39924</v>
      </c>
      <c r="I29" s="11" t="str">
        <f t="shared" ca="1" si="0"/>
        <v>16 años 11 meses</v>
      </c>
      <c r="J29" s="8">
        <f t="shared" ca="1" si="8"/>
        <v>-266</v>
      </c>
      <c r="K29" s="11">
        <f t="shared" ca="1" si="2"/>
        <v>-266</v>
      </c>
      <c r="L29">
        <f t="shared" ca="1" si="9"/>
        <v>6180</v>
      </c>
      <c r="M29">
        <f t="shared" ca="1" si="4"/>
        <v>16.931506849315067</v>
      </c>
      <c r="N29">
        <f t="shared" ca="1" si="5"/>
        <v>16</v>
      </c>
      <c r="O29">
        <f t="shared" ca="1" si="6"/>
        <v>340</v>
      </c>
      <c r="P29">
        <f t="shared" ca="1" si="7"/>
        <v>11</v>
      </c>
    </row>
    <row r="30" spans="1:17" x14ac:dyDescent="0.2">
      <c r="A30" s="33">
        <v>28</v>
      </c>
      <c r="B30" s="1" t="s">
        <v>468</v>
      </c>
      <c r="C30" s="11" t="s">
        <v>469</v>
      </c>
      <c r="D30" s="11"/>
      <c r="E30" s="11" t="s">
        <v>28</v>
      </c>
      <c r="F30" s="12">
        <v>45657</v>
      </c>
      <c r="G30" s="19">
        <v>0</v>
      </c>
      <c r="H30" s="17">
        <v>39869</v>
      </c>
      <c r="I30" s="11" t="str">
        <f t="shared" ca="1" si="0"/>
        <v>17 años 1 meses</v>
      </c>
      <c r="J30" s="8">
        <f t="shared" ca="1" si="8"/>
        <v>-447</v>
      </c>
      <c r="K30" s="11">
        <f t="shared" ca="1" si="2"/>
        <v>-447</v>
      </c>
      <c r="L30">
        <f t="shared" ca="1" si="9"/>
        <v>6235</v>
      </c>
      <c r="M30">
        <f t="shared" ca="1" si="4"/>
        <v>17.082191780821919</v>
      </c>
      <c r="N30">
        <f t="shared" ca="1" si="5"/>
        <v>17</v>
      </c>
      <c r="O30">
        <f t="shared" ca="1" si="6"/>
        <v>30</v>
      </c>
      <c r="P30">
        <f t="shared" ca="1" si="7"/>
        <v>1</v>
      </c>
      <c r="Q30" s="55"/>
    </row>
    <row r="31" spans="1:17" x14ac:dyDescent="0.2">
      <c r="A31" s="33">
        <v>29</v>
      </c>
      <c r="B31" s="1" t="s">
        <v>463</v>
      </c>
      <c r="C31" s="11" t="s">
        <v>464</v>
      </c>
      <c r="D31" s="11"/>
      <c r="E31" s="11" t="s">
        <v>28</v>
      </c>
      <c r="F31" s="12">
        <v>45657</v>
      </c>
      <c r="G31" s="19">
        <v>0</v>
      </c>
      <c r="H31" s="17">
        <v>39815</v>
      </c>
      <c r="I31" s="11" t="str">
        <f t="shared" ca="1" si="0"/>
        <v>17 años 2 meses</v>
      </c>
      <c r="J31" s="8">
        <f t="shared" ca="1" si="8"/>
        <v>-447</v>
      </c>
      <c r="K31" s="11">
        <f t="shared" ca="1" si="2"/>
        <v>-447</v>
      </c>
      <c r="L31">
        <f t="shared" ca="1" si="9"/>
        <v>6289</v>
      </c>
      <c r="M31">
        <f t="shared" ca="1" si="4"/>
        <v>17.230136986301371</v>
      </c>
      <c r="N31">
        <f t="shared" ca="1" si="5"/>
        <v>17</v>
      </c>
      <c r="O31">
        <f t="shared" ca="1" si="6"/>
        <v>84</v>
      </c>
      <c r="P31">
        <f t="shared" ca="1" si="7"/>
        <v>2</v>
      </c>
    </row>
    <row r="32" spans="1:17" x14ac:dyDescent="0.2">
      <c r="A32" s="33">
        <v>30</v>
      </c>
      <c r="B32" s="1" t="s">
        <v>414</v>
      </c>
      <c r="C32" s="11" t="s">
        <v>415</v>
      </c>
      <c r="D32" s="11"/>
      <c r="E32" s="11" t="s">
        <v>29</v>
      </c>
      <c r="F32" s="12">
        <v>45838</v>
      </c>
      <c r="G32" s="19">
        <v>0</v>
      </c>
      <c r="H32" s="17">
        <v>40022</v>
      </c>
      <c r="I32" s="11" t="str">
        <f t="shared" ca="1" si="0"/>
        <v>16 años 8 meses</v>
      </c>
      <c r="J32" s="8">
        <f t="shared" ca="1" si="8"/>
        <v>-266</v>
      </c>
      <c r="K32" s="11">
        <f t="shared" ca="1" si="2"/>
        <v>-266</v>
      </c>
      <c r="L32">
        <f t="shared" ca="1" si="9"/>
        <v>6082</v>
      </c>
      <c r="M32">
        <f t="shared" ca="1" si="4"/>
        <v>16.663013698630138</v>
      </c>
      <c r="N32">
        <f t="shared" ca="1" si="5"/>
        <v>16</v>
      </c>
      <c r="O32">
        <f t="shared" ca="1" si="6"/>
        <v>242</v>
      </c>
      <c r="P32">
        <f t="shared" ca="1" si="7"/>
        <v>8</v>
      </c>
    </row>
    <row r="33" spans="1:17" x14ac:dyDescent="0.2">
      <c r="A33" s="33">
        <v>31</v>
      </c>
      <c r="B33" s="1" t="s">
        <v>261</v>
      </c>
      <c r="C33" s="11" t="s">
        <v>262</v>
      </c>
      <c r="D33" s="11"/>
      <c r="E33" s="11" t="s">
        <v>29</v>
      </c>
      <c r="F33" s="12">
        <v>45838</v>
      </c>
      <c r="G33" s="19">
        <v>0</v>
      </c>
      <c r="H33" s="17">
        <v>39524</v>
      </c>
      <c r="I33" s="11" t="str">
        <f t="shared" ca="1" si="0"/>
        <v>18 años 0 meses</v>
      </c>
      <c r="J33" s="8">
        <f t="shared" ca="1" si="8"/>
        <v>-266</v>
      </c>
      <c r="K33" s="11">
        <f t="shared" ca="1" si="2"/>
        <v>-266</v>
      </c>
      <c r="L33">
        <f t="shared" ca="1" si="9"/>
        <v>6580</v>
      </c>
      <c r="M33">
        <f t="shared" ca="1" si="4"/>
        <v>18.027397260273972</v>
      </c>
      <c r="N33">
        <f t="shared" ca="1" si="5"/>
        <v>18</v>
      </c>
      <c r="O33">
        <f t="shared" ca="1" si="6"/>
        <v>10</v>
      </c>
      <c r="P33">
        <f t="shared" ca="1" si="7"/>
        <v>0</v>
      </c>
      <c r="Q33" s="59" t="s">
        <v>459</v>
      </c>
    </row>
    <row r="34" spans="1:17" x14ac:dyDescent="0.2">
      <c r="A34" s="33">
        <v>32</v>
      </c>
      <c r="B34" s="1" t="s">
        <v>426</v>
      </c>
      <c r="C34" s="11" t="s">
        <v>262</v>
      </c>
      <c r="D34" s="11"/>
      <c r="E34" s="11" t="s">
        <v>29</v>
      </c>
      <c r="F34" s="12">
        <v>45838</v>
      </c>
      <c r="G34" s="19">
        <v>0</v>
      </c>
      <c r="H34" s="17">
        <v>40061</v>
      </c>
      <c r="I34" s="11" t="str">
        <f t="shared" ca="1" si="0"/>
        <v>16 años 6 meses</v>
      </c>
      <c r="J34" s="8">
        <f t="shared" ca="1" si="8"/>
        <v>-266</v>
      </c>
      <c r="K34" s="11">
        <f t="shared" ca="1" si="2"/>
        <v>-266</v>
      </c>
      <c r="L34">
        <f t="shared" ca="1" si="9"/>
        <v>6043</v>
      </c>
      <c r="M34">
        <f t="shared" ca="1" si="4"/>
        <v>16.556164383561644</v>
      </c>
      <c r="N34">
        <f t="shared" ca="1" si="5"/>
        <v>16</v>
      </c>
      <c r="O34">
        <f t="shared" ca="1" si="6"/>
        <v>203</v>
      </c>
      <c r="P34">
        <f t="shared" ca="1" si="7"/>
        <v>6</v>
      </c>
    </row>
    <row r="35" spans="1:17" x14ac:dyDescent="0.2">
      <c r="A35" s="33">
        <v>33</v>
      </c>
      <c r="B35" s="1" t="s">
        <v>420</v>
      </c>
      <c r="C35" s="11" t="s">
        <v>421</v>
      </c>
      <c r="D35" s="11"/>
      <c r="E35" s="11" t="s">
        <v>29</v>
      </c>
      <c r="F35" s="12">
        <v>45838</v>
      </c>
      <c r="G35" s="19">
        <v>0</v>
      </c>
      <c r="H35" s="17">
        <v>39831</v>
      </c>
      <c r="I35" s="11" t="str">
        <f t="shared" ca="1" si="0"/>
        <v>17 años 2 meses</v>
      </c>
      <c r="J35" s="8">
        <f t="shared" ca="1" si="8"/>
        <v>-266</v>
      </c>
      <c r="K35" s="11">
        <f t="shared" ca="1" si="2"/>
        <v>-266</v>
      </c>
      <c r="L35">
        <f t="shared" ca="1" si="9"/>
        <v>6273</v>
      </c>
      <c r="M35">
        <f t="shared" ca="1" si="4"/>
        <v>17.186301369863013</v>
      </c>
      <c r="N35">
        <f t="shared" ca="1" si="5"/>
        <v>17</v>
      </c>
      <c r="O35">
        <f t="shared" ca="1" si="6"/>
        <v>68</v>
      </c>
      <c r="P35">
        <f t="shared" ca="1" si="7"/>
        <v>2</v>
      </c>
    </row>
    <row r="36" spans="1:17" x14ac:dyDescent="0.2">
      <c r="A36" s="33">
        <v>34</v>
      </c>
      <c r="B36" s="1" t="s">
        <v>407</v>
      </c>
      <c r="C36" s="11" t="s">
        <v>195</v>
      </c>
      <c r="D36" s="11"/>
      <c r="E36" s="11" t="s">
        <v>29</v>
      </c>
      <c r="F36" s="12">
        <v>45838</v>
      </c>
      <c r="G36" s="19">
        <v>0</v>
      </c>
      <c r="H36" s="17">
        <v>39843</v>
      </c>
      <c r="I36" s="11" t="str">
        <f t="shared" ca="1" si="0"/>
        <v>17 años 1 meses</v>
      </c>
      <c r="J36" s="8">
        <f t="shared" ca="1" si="8"/>
        <v>-266</v>
      </c>
      <c r="K36" s="11">
        <f t="shared" ca="1" si="2"/>
        <v>-266</v>
      </c>
      <c r="L36">
        <f t="shared" ca="1" si="9"/>
        <v>6261</v>
      </c>
      <c r="M36">
        <f t="shared" ca="1" si="4"/>
        <v>17.153424657534245</v>
      </c>
      <c r="N36">
        <f t="shared" ca="1" si="5"/>
        <v>17</v>
      </c>
      <c r="O36">
        <f t="shared" ca="1" si="6"/>
        <v>56</v>
      </c>
      <c r="P36">
        <f t="shared" ca="1" si="7"/>
        <v>1</v>
      </c>
    </row>
    <row r="37" spans="1:17" x14ac:dyDescent="0.2">
      <c r="A37" s="33">
        <v>35</v>
      </c>
      <c r="B37" s="1" t="s">
        <v>408</v>
      </c>
      <c r="C37" s="11" t="s">
        <v>409</v>
      </c>
      <c r="D37" s="11"/>
      <c r="E37" s="11" t="s">
        <v>29</v>
      </c>
      <c r="F37" s="12">
        <v>45838</v>
      </c>
      <c r="G37" s="19">
        <v>0</v>
      </c>
      <c r="H37" s="17">
        <v>40282</v>
      </c>
      <c r="I37" s="11" t="str">
        <f t="shared" ca="1" si="0"/>
        <v>15 años 11 meses</v>
      </c>
      <c r="J37" s="8">
        <f t="shared" ca="1" si="8"/>
        <v>-266</v>
      </c>
      <c r="K37" s="11">
        <f t="shared" ca="1" si="2"/>
        <v>-266</v>
      </c>
      <c r="L37">
        <f t="shared" ca="1" si="9"/>
        <v>5822</v>
      </c>
      <c r="M37">
        <f t="shared" ca="1" si="4"/>
        <v>15.950684931506849</v>
      </c>
      <c r="N37">
        <f t="shared" ca="1" si="5"/>
        <v>15</v>
      </c>
      <c r="O37">
        <f t="shared" ca="1" si="6"/>
        <v>347</v>
      </c>
      <c r="P37">
        <f t="shared" ca="1" si="7"/>
        <v>11</v>
      </c>
    </row>
    <row r="38" spans="1:17" x14ac:dyDescent="0.2">
      <c r="A38" s="33">
        <v>36</v>
      </c>
      <c r="B38" s="1" t="s">
        <v>473</v>
      </c>
      <c r="C38" s="11" t="s">
        <v>474</v>
      </c>
      <c r="D38" s="11"/>
      <c r="E38" s="11" t="s">
        <v>29</v>
      </c>
      <c r="F38" s="12">
        <v>45838</v>
      </c>
      <c r="G38" s="19">
        <v>0</v>
      </c>
      <c r="H38" s="17">
        <v>39836</v>
      </c>
      <c r="I38" s="11" t="str">
        <f t="shared" ca="1" si="0"/>
        <v>17 años 2 meses</v>
      </c>
      <c r="J38" s="8">
        <f t="shared" ca="1" si="8"/>
        <v>-266</v>
      </c>
      <c r="K38" s="11">
        <f t="shared" ca="1" si="2"/>
        <v>-266</v>
      </c>
      <c r="L38">
        <f t="shared" ca="1" si="9"/>
        <v>6268</v>
      </c>
      <c r="M38">
        <f t="shared" ca="1" si="4"/>
        <v>17.172602739726027</v>
      </c>
      <c r="N38">
        <f t="shared" ca="1" si="5"/>
        <v>17</v>
      </c>
      <c r="O38">
        <f t="shared" ca="1" si="6"/>
        <v>63</v>
      </c>
      <c r="P38">
        <f t="shared" ca="1" si="7"/>
        <v>2</v>
      </c>
    </row>
    <row r="39" spans="1:17" x14ac:dyDescent="0.2">
      <c r="A39" s="33">
        <v>37</v>
      </c>
      <c r="B39" s="1" t="s">
        <v>477</v>
      </c>
      <c r="C39" s="11" t="s">
        <v>340</v>
      </c>
      <c r="D39" s="11"/>
      <c r="E39" s="11" t="s">
        <v>29</v>
      </c>
      <c r="F39" s="12">
        <v>45838</v>
      </c>
      <c r="G39" s="19">
        <v>0</v>
      </c>
      <c r="H39" s="17">
        <v>40222</v>
      </c>
      <c r="I39" s="11" t="str">
        <f t="shared" ca="1" si="0"/>
        <v>16 años 1 meses</v>
      </c>
      <c r="J39" s="8">
        <f t="shared" ca="1" si="8"/>
        <v>-266</v>
      </c>
      <c r="K39" s="11">
        <f t="shared" ca="1" si="2"/>
        <v>-266</v>
      </c>
      <c r="L39">
        <f t="shared" ca="1" si="9"/>
        <v>5882</v>
      </c>
      <c r="M39">
        <f t="shared" ca="1" si="4"/>
        <v>16.115068493150684</v>
      </c>
      <c r="N39">
        <f t="shared" ca="1" si="5"/>
        <v>16</v>
      </c>
      <c r="O39">
        <f t="shared" ca="1" si="6"/>
        <v>42</v>
      </c>
      <c r="P39">
        <f t="shared" ca="1" si="7"/>
        <v>1</v>
      </c>
    </row>
    <row r="40" spans="1:17" x14ac:dyDescent="0.2">
      <c r="A40" s="33">
        <v>38</v>
      </c>
      <c r="B40" s="1" t="s">
        <v>272</v>
      </c>
      <c r="C40" s="11" t="s">
        <v>273</v>
      </c>
      <c r="D40" s="11"/>
      <c r="E40" s="11" t="s">
        <v>27</v>
      </c>
      <c r="F40" s="12">
        <v>45473</v>
      </c>
      <c r="G40" s="19">
        <v>0</v>
      </c>
      <c r="H40" s="17">
        <v>39486</v>
      </c>
      <c r="I40" s="11" t="str">
        <f t="shared" ca="1" si="0"/>
        <v>18 años 1 meses</v>
      </c>
      <c r="J40" s="8">
        <f t="shared" ca="1" si="8"/>
        <v>-631</v>
      </c>
      <c r="K40" s="11">
        <f t="shared" ca="1" si="2"/>
        <v>-631</v>
      </c>
      <c r="L40">
        <f t="shared" ca="1" si="9"/>
        <v>6618</v>
      </c>
      <c r="M40">
        <f t="shared" ca="1" si="4"/>
        <v>18.13150684931507</v>
      </c>
      <c r="N40">
        <f t="shared" ca="1" si="5"/>
        <v>18</v>
      </c>
      <c r="O40">
        <f t="shared" ca="1" si="6"/>
        <v>48</v>
      </c>
      <c r="P40">
        <f t="shared" ca="1" si="7"/>
        <v>1</v>
      </c>
    </row>
  </sheetData>
  <sheetProtection algorithmName="SHA-512" hashValue="+nfEN1ll6XlfHptf4AjoJR5nA4EYK4hXevlw1cN3z11vYmUSoZBFy8A2UQxz+1Tt0jiQTuAgAAKBn7lyeAU8hg==" saltValue="ouSJDeKwfz6zhswdYj20uw==" spinCount="100000" sheet="1" sort="0" autoFilter="0"/>
  <sortState xmlns:xlrd2="http://schemas.microsoft.com/office/spreadsheetml/2017/richdata2" ref="A3:Q40">
    <sortCondition ref="C3:C40"/>
  </sortState>
  <mergeCells count="1">
    <mergeCell ref="A1:J1"/>
  </mergeCells>
  <conditionalFormatting sqref="E2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40">
    <cfRule type="containsText" dxfId="2" priority="1" operator="containsText" text="Clausura 2018">
      <formula>NOT(ISERROR(SEARCH("Clausura 2018",F3)))</formula>
    </cfRule>
  </conditionalFormatting>
  <conditionalFormatting sqref="G2:I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9">
    <cfRule type="iconSet" priority="830">
      <iconSet iconSet="3Symbols" showValue="0">
        <cfvo type="percent" val="0"/>
        <cfvo type="num" val="365"/>
        <cfvo type="num" val="547"/>
      </iconSet>
    </cfRule>
  </conditionalFormatting>
  <conditionalFormatting sqref="J10:J11">
    <cfRule type="iconSet" priority="42">
      <iconSet iconSet="3Symbols" showValue="0">
        <cfvo type="percent" val="0"/>
        <cfvo type="num" val="365"/>
        <cfvo type="num" val="547"/>
      </iconSet>
    </cfRule>
  </conditionalFormatting>
  <conditionalFormatting sqref="J12:J15">
    <cfRule type="iconSet" priority="877">
      <iconSet iconSet="3Symbols" showValue="0">
        <cfvo type="percent" val="0"/>
        <cfvo type="num" val="365"/>
        <cfvo type="num" val="547"/>
      </iconSet>
    </cfRule>
  </conditionalFormatting>
  <conditionalFormatting sqref="J16:J28 J30:J40">
    <cfRule type="iconSet" priority="836">
      <iconSet iconSet="3Symbols" showValue="0">
        <cfvo type="percent" val="0"/>
        <cfvo type="num" val="365"/>
        <cfvo type="num" val="547"/>
      </iconSet>
    </cfRule>
  </conditionalFormatting>
  <conditionalFormatting sqref="J29">
    <cfRule type="iconSet" priority="880">
      <iconSet iconSet="3Symbols" showValue="0">
        <cfvo type="percent" val="0"/>
        <cfvo type="num" val="365"/>
        <cfvo type="num" val="547"/>
      </iconSet>
    </cfRule>
  </conditionalFormatting>
  <conditionalFormatting sqref="K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C3CE-EE19-4811-B487-91C47F06704E}">
  <sheetPr codeName="Hoja7"/>
  <dimension ref="A1:Q36"/>
  <sheetViews>
    <sheetView showGridLines="0" zoomScale="86" zoomScaleNormal="86" workbookViewId="0">
      <pane ySplit="2" topLeftCell="A3" activePane="bottomLeft" state="frozen"/>
      <selection pane="bottomLeft" activeCell="R7" sqref="R7"/>
    </sheetView>
  </sheetViews>
  <sheetFormatPr baseColWidth="10" defaultRowHeight="17" x14ac:dyDescent="0.2"/>
  <cols>
    <col min="1" max="1" width="4.5" style="3" customWidth="1"/>
    <col min="2" max="2" width="17.83203125" customWidth="1"/>
    <col min="3" max="3" width="23" customWidth="1"/>
    <col min="4" max="4" width="0.1640625" hidden="1" customWidth="1"/>
    <col min="5" max="5" width="11.6640625" customWidth="1"/>
    <col min="6" max="6" width="22.33203125" style="18" hidden="1" customWidth="1"/>
    <col min="7" max="7" width="13.1640625" customWidth="1"/>
    <col min="8" max="8" width="11" customWidth="1"/>
    <col min="9" max="9" width="14" customWidth="1"/>
    <col min="10" max="10" width="10.33203125" style="7" customWidth="1"/>
    <col min="11" max="11" width="11.1640625" customWidth="1"/>
    <col min="12" max="12" width="2" hidden="1" customWidth="1"/>
    <col min="13" max="13" width="4.5" hidden="1" customWidth="1"/>
    <col min="14" max="14" width="5.83203125" hidden="1" customWidth="1"/>
    <col min="15" max="15" width="2.83203125" hidden="1" customWidth="1"/>
    <col min="16" max="16" width="9.1640625" hidden="1" customWidth="1"/>
    <col min="17" max="17" width="7.33203125" style="48" customWidth="1"/>
    <col min="18" max="18" width="11.5" customWidth="1"/>
    <col min="20" max="20" width="11.5" customWidth="1"/>
  </cols>
  <sheetData>
    <row r="1" spans="1:17" ht="68.25" customHeight="1" x14ac:dyDescent="0.2">
      <c r="A1" s="72" t="s">
        <v>83</v>
      </c>
      <c r="B1" s="72"/>
      <c r="C1" s="72"/>
      <c r="D1" s="72"/>
      <c r="E1" s="72"/>
      <c r="F1" s="72"/>
      <c r="G1" s="72"/>
      <c r="H1" s="72"/>
      <c r="I1" s="72"/>
      <c r="J1" s="72"/>
      <c r="K1" s="13">
        <f ca="1">TODAY()</f>
        <v>46104</v>
      </c>
    </row>
    <row r="2" spans="1:17" ht="26" x14ac:dyDescent="0.2">
      <c r="A2" s="31" t="s">
        <v>18</v>
      </c>
      <c r="B2" s="31" t="s">
        <v>9</v>
      </c>
      <c r="C2" s="31" t="s">
        <v>10</v>
      </c>
      <c r="D2" s="32" t="s">
        <v>85</v>
      </c>
      <c r="E2" s="32" t="s">
        <v>11</v>
      </c>
      <c r="F2" s="33"/>
      <c r="G2" s="34" t="s">
        <v>66</v>
      </c>
      <c r="H2" s="34" t="s">
        <v>84</v>
      </c>
      <c r="I2" s="34" t="s">
        <v>86</v>
      </c>
      <c r="J2" s="31" t="s">
        <v>17</v>
      </c>
      <c r="K2" s="35" t="s">
        <v>12</v>
      </c>
    </row>
    <row r="3" spans="1:17" s="21" customFormat="1" x14ac:dyDescent="0.2">
      <c r="A3" s="33">
        <v>1</v>
      </c>
      <c r="B3" s="11" t="s">
        <v>345</v>
      </c>
      <c r="C3" s="11" t="s">
        <v>346</v>
      </c>
      <c r="D3" s="11"/>
      <c r="E3" s="11" t="s">
        <v>27</v>
      </c>
      <c r="F3" s="12">
        <v>45473</v>
      </c>
      <c r="G3" s="23">
        <v>40000</v>
      </c>
      <c r="H3" s="17">
        <v>34918</v>
      </c>
      <c r="I3" s="11" t="str">
        <f t="shared" ref="I3:I26" ca="1" si="0">_xlfn.FLOOR.MATH(M3)&amp;" años "&amp;P3&amp;" meses"</f>
        <v>30 años 7 meses</v>
      </c>
      <c r="J3" s="8">
        <f t="shared" ref="J3:J13" ca="1" si="1">F3-$K$1</f>
        <v>-631</v>
      </c>
      <c r="K3" s="11">
        <f t="shared" ref="K3:K26" ca="1" si="2">J3</f>
        <v>-631</v>
      </c>
      <c r="L3" s="21">
        <f t="shared" ref="L3:L13" ca="1" si="3">$K$1-H3</f>
        <v>11186</v>
      </c>
      <c r="M3" s="21">
        <f t="shared" ref="M3:M26" ca="1" si="4">L3/365</f>
        <v>30.646575342465752</v>
      </c>
      <c r="N3" s="21">
        <f t="shared" ref="N3:N26" ca="1" si="5">_xlfn.FLOOR.MATH(M3)</f>
        <v>30</v>
      </c>
      <c r="O3" s="21">
        <f t="shared" ref="O3:O26" ca="1" si="6">L3-(N3*365)</f>
        <v>236</v>
      </c>
      <c r="P3" s="21">
        <f t="shared" ref="P3:P26" ca="1" si="7">_xlfn.FLOOR.MATH(O3/30)</f>
        <v>7</v>
      </c>
      <c r="Q3" s="49"/>
    </row>
    <row r="4" spans="1:17" s="21" customFormat="1" x14ac:dyDescent="0.2">
      <c r="A4" s="33">
        <v>2</v>
      </c>
      <c r="B4" s="11" t="s">
        <v>309</v>
      </c>
      <c r="C4" s="11" t="s">
        <v>310</v>
      </c>
      <c r="D4" s="11"/>
      <c r="E4" s="11" t="s">
        <v>31</v>
      </c>
      <c r="F4" s="12">
        <v>46203</v>
      </c>
      <c r="G4" s="42">
        <v>40000</v>
      </c>
      <c r="H4" s="17">
        <v>36062</v>
      </c>
      <c r="I4" s="11" t="str">
        <f t="shared" ca="1" si="0"/>
        <v>27 años 6 meses</v>
      </c>
      <c r="J4" s="8">
        <f t="shared" ca="1" si="1"/>
        <v>99</v>
      </c>
      <c r="K4" s="11">
        <f t="shared" ca="1" si="2"/>
        <v>99</v>
      </c>
      <c r="L4" s="21">
        <f t="shared" ca="1" si="3"/>
        <v>10042</v>
      </c>
      <c r="M4" s="21">
        <f t="shared" ca="1" si="4"/>
        <v>27.512328767123286</v>
      </c>
      <c r="N4" s="21">
        <f t="shared" ca="1" si="5"/>
        <v>27</v>
      </c>
      <c r="O4" s="21">
        <f t="shared" ca="1" si="6"/>
        <v>187</v>
      </c>
      <c r="P4" s="21">
        <f t="shared" ca="1" si="7"/>
        <v>6</v>
      </c>
      <c r="Q4" s="43"/>
    </row>
    <row r="5" spans="1:17" s="21" customFormat="1" x14ac:dyDescent="0.2">
      <c r="A5" s="33">
        <v>3</v>
      </c>
      <c r="B5" s="11" t="s">
        <v>484</v>
      </c>
      <c r="C5" s="11" t="s">
        <v>485</v>
      </c>
      <c r="D5" s="11"/>
      <c r="E5" s="11" t="s">
        <v>28</v>
      </c>
      <c r="F5" s="12">
        <v>45657</v>
      </c>
      <c r="G5" s="23">
        <v>35000</v>
      </c>
      <c r="H5" s="17">
        <v>36071</v>
      </c>
      <c r="I5" s="11" t="str">
        <f t="shared" ca="1" si="0"/>
        <v>27 años 5 meses</v>
      </c>
      <c r="J5" s="8">
        <f t="shared" ca="1" si="1"/>
        <v>-447</v>
      </c>
      <c r="K5" s="11">
        <f t="shared" ca="1" si="2"/>
        <v>-447</v>
      </c>
      <c r="L5" s="21">
        <f t="shared" ca="1" si="3"/>
        <v>10033</v>
      </c>
      <c r="M5" s="21">
        <f t="shared" ca="1" si="4"/>
        <v>27.487671232876714</v>
      </c>
      <c r="N5" s="21">
        <f t="shared" ca="1" si="5"/>
        <v>27</v>
      </c>
      <c r="O5" s="21">
        <f t="shared" ca="1" si="6"/>
        <v>178</v>
      </c>
      <c r="P5" s="21">
        <f t="shared" ca="1" si="7"/>
        <v>5</v>
      </c>
      <c r="Q5" s="43"/>
    </row>
    <row r="6" spans="1:17" s="21" customFormat="1" x14ac:dyDescent="0.2">
      <c r="A6" s="33">
        <v>4</v>
      </c>
      <c r="B6" s="11" t="s">
        <v>307</v>
      </c>
      <c r="C6" s="11" t="s">
        <v>308</v>
      </c>
      <c r="D6" s="11"/>
      <c r="E6" s="11" t="s">
        <v>28</v>
      </c>
      <c r="F6" s="12">
        <v>45657</v>
      </c>
      <c r="G6" s="42">
        <v>40000</v>
      </c>
      <c r="H6" s="17">
        <v>33305</v>
      </c>
      <c r="I6" s="11" t="str">
        <f t="shared" ca="1" si="0"/>
        <v>35 años 0 meses</v>
      </c>
      <c r="J6" s="8">
        <f t="shared" ca="1" si="1"/>
        <v>-447</v>
      </c>
      <c r="K6" s="11">
        <f t="shared" ca="1" si="2"/>
        <v>-447</v>
      </c>
      <c r="L6" s="21">
        <f t="shared" ca="1" si="3"/>
        <v>12799</v>
      </c>
      <c r="M6">
        <f t="shared" ca="1" si="4"/>
        <v>35.065753424657537</v>
      </c>
      <c r="N6">
        <f t="shared" ca="1" si="5"/>
        <v>35</v>
      </c>
      <c r="O6">
        <f t="shared" ca="1" si="6"/>
        <v>24</v>
      </c>
      <c r="P6">
        <f t="shared" ca="1" si="7"/>
        <v>0</v>
      </c>
      <c r="Q6" s="45"/>
    </row>
    <row r="7" spans="1:17" s="21" customFormat="1" x14ac:dyDescent="0.2">
      <c r="A7" s="33">
        <v>5</v>
      </c>
      <c r="B7" s="53" t="s">
        <v>132</v>
      </c>
      <c r="C7" s="11" t="s">
        <v>150</v>
      </c>
      <c r="D7" s="11"/>
      <c r="E7" s="11" t="s">
        <v>29</v>
      </c>
      <c r="F7" s="12">
        <v>45838</v>
      </c>
      <c r="G7" s="46">
        <v>12500</v>
      </c>
      <c r="H7" s="17">
        <v>38091</v>
      </c>
      <c r="I7" s="11" t="str">
        <f t="shared" ca="1" si="0"/>
        <v>21 años 11 meses</v>
      </c>
      <c r="J7" s="8">
        <f t="shared" ca="1" si="1"/>
        <v>-266</v>
      </c>
      <c r="K7" s="11">
        <f t="shared" ca="1" si="2"/>
        <v>-266</v>
      </c>
      <c r="L7" s="21">
        <f t="shared" ca="1" si="3"/>
        <v>8013</v>
      </c>
      <c r="M7" s="21">
        <f t="shared" ca="1" si="4"/>
        <v>21.953424657534246</v>
      </c>
      <c r="N7" s="21">
        <f t="shared" ca="1" si="5"/>
        <v>21</v>
      </c>
      <c r="O7" s="21">
        <f t="shared" ca="1" si="6"/>
        <v>348</v>
      </c>
      <c r="P7" s="21">
        <f t="shared" ca="1" si="7"/>
        <v>11</v>
      </c>
      <c r="Q7" s="43" t="s">
        <v>490</v>
      </c>
    </row>
    <row r="8" spans="1:17" s="21" customFormat="1" x14ac:dyDescent="0.2">
      <c r="A8" s="33">
        <v>6</v>
      </c>
      <c r="B8" s="11" t="s">
        <v>482</v>
      </c>
      <c r="C8" s="11" t="s">
        <v>483</v>
      </c>
      <c r="D8" s="11"/>
      <c r="E8" s="11" t="s">
        <v>30</v>
      </c>
      <c r="F8" s="12">
        <v>46022</v>
      </c>
      <c r="G8" s="42">
        <v>44000</v>
      </c>
      <c r="H8" s="17">
        <v>36991</v>
      </c>
      <c r="I8" s="11" t="str">
        <f t="shared" ca="1" si="0"/>
        <v>24 años 11 meses</v>
      </c>
      <c r="J8" s="8">
        <f t="shared" ca="1" si="1"/>
        <v>-82</v>
      </c>
      <c r="K8" s="11">
        <f t="shared" ca="1" si="2"/>
        <v>-82</v>
      </c>
      <c r="L8" s="21">
        <f t="shared" ca="1" si="3"/>
        <v>9113</v>
      </c>
      <c r="M8" s="21">
        <f t="shared" ca="1" si="4"/>
        <v>24.967123287671232</v>
      </c>
      <c r="N8" s="21">
        <f t="shared" ca="1" si="5"/>
        <v>24</v>
      </c>
      <c r="O8" s="21">
        <f t="shared" ca="1" si="6"/>
        <v>353</v>
      </c>
      <c r="P8" s="21">
        <f t="shared" ca="1" si="7"/>
        <v>11</v>
      </c>
      <c r="Q8" s="45"/>
    </row>
    <row r="9" spans="1:17" s="21" customFormat="1" x14ac:dyDescent="0.2">
      <c r="A9" s="33">
        <v>7</v>
      </c>
      <c r="B9" s="53" t="s">
        <v>121</v>
      </c>
      <c r="C9" s="11" t="s">
        <v>122</v>
      </c>
      <c r="D9" s="11"/>
      <c r="E9" s="11" t="s">
        <v>27</v>
      </c>
      <c r="F9" s="12">
        <v>45473</v>
      </c>
      <c r="G9" s="42">
        <v>25000</v>
      </c>
      <c r="H9" s="17">
        <v>35036</v>
      </c>
      <c r="I9" s="11" t="str">
        <f t="shared" ca="1" si="0"/>
        <v>30 años 3 meses</v>
      </c>
      <c r="J9" s="8">
        <f t="shared" ca="1" si="1"/>
        <v>-631</v>
      </c>
      <c r="K9" s="11">
        <f t="shared" ca="1" si="2"/>
        <v>-631</v>
      </c>
      <c r="L9" s="21">
        <f t="shared" ca="1" si="3"/>
        <v>11068</v>
      </c>
      <c r="M9" s="21">
        <f t="shared" ca="1" si="4"/>
        <v>30.323287671232876</v>
      </c>
      <c r="N9" s="21">
        <f t="shared" ca="1" si="5"/>
        <v>30</v>
      </c>
      <c r="O9" s="21">
        <f t="shared" ca="1" si="6"/>
        <v>118</v>
      </c>
      <c r="P9" s="21">
        <f t="shared" ca="1" si="7"/>
        <v>3</v>
      </c>
      <c r="Q9" s="43"/>
    </row>
    <row r="10" spans="1:17" s="21" customFormat="1" x14ac:dyDescent="0.2">
      <c r="A10" s="33">
        <v>8</v>
      </c>
      <c r="B10" s="11" t="s">
        <v>123</v>
      </c>
      <c r="C10" s="11" t="s">
        <v>124</v>
      </c>
      <c r="D10" s="11"/>
      <c r="E10" s="11" t="s">
        <v>27</v>
      </c>
      <c r="F10" s="12">
        <v>45473</v>
      </c>
      <c r="G10" s="42">
        <v>28000</v>
      </c>
      <c r="H10" s="17">
        <v>33911</v>
      </c>
      <c r="I10" s="11" t="str">
        <f t="shared" ca="1" si="0"/>
        <v>33 años 4 meses</v>
      </c>
      <c r="J10" s="8">
        <f t="shared" ca="1" si="1"/>
        <v>-631</v>
      </c>
      <c r="K10" s="11">
        <f t="shared" ca="1" si="2"/>
        <v>-631</v>
      </c>
      <c r="L10" s="21">
        <f t="shared" ca="1" si="3"/>
        <v>12193</v>
      </c>
      <c r="M10" s="21">
        <f t="shared" ca="1" si="4"/>
        <v>33.405479452054792</v>
      </c>
      <c r="N10" s="21">
        <f t="shared" ca="1" si="5"/>
        <v>33</v>
      </c>
      <c r="O10" s="21">
        <f t="shared" ca="1" si="6"/>
        <v>148</v>
      </c>
      <c r="P10" s="21">
        <f t="shared" ca="1" si="7"/>
        <v>4</v>
      </c>
      <c r="Q10" s="45"/>
    </row>
    <row r="11" spans="1:17" s="21" customFormat="1" x14ac:dyDescent="0.2">
      <c r="A11" s="33">
        <v>9</v>
      </c>
      <c r="B11" s="11" t="s">
        <v>131</v>
      </c>
      <c r="C11" s="11" t="s">
        <v>133</v>
      </c>
      <c r="D11" s="11"/>
      <c r="E11" s="11" t="s">
        <v>29</v>
      </c>
      <c r="F11" s="12">
        <v>45838</v>
      </c>
      <c r="G11" s="42">
        <v>22000</v>
      </c>
      <c r="H11" s="17">
        <v>38075</v>
      </c>
      <c r="I11" s="11" t="str">
        <f t="shared" ca="1" si="0"/>
        <v>21 años 12 meses</v>
      </c>
      <c r="J11" s="8">
        <f t="shared" ca="1" si="1"/>
        <v>-266</v>
      </c>
      <c r="K11" s="11">
        <f t="shared" ca="1" si="2"/>
        <v>-266</v>
      </c>
      <c r="L11" s="21">
        <f t="shared" ca="1" si="3"/>
        <v>8029</v>
      </c>
      <c r="M11" s="21">
        <f t="shared" ca="1" si="4"/>
        <v>21.997260273972604</v>
      </c>
      <c r="N11" s="21">
        <f t="shared" ca="1" si="5"/>
        <v>21</v>
      </c>
      <c r="O11" s="21">
        <f t="shared" ca="1" si="6"/>
        <v>364</v>
      </c>
      <c r="P11" s="21">
        <f t="shared" ca="1" si="7"/>
        <v>12</v>
      </c>
      <c r="Q11" s="43" t="s">
        <v>491</v>
      </c>
    </row>
    <row r="12" spans="1:17" s="21" customFormat="1" x14ac:dyDescent="0.2">
      <c r="A12" s="33">
        <v>10</v>
      </c>
      <c r="B12" s="11" t="s">
        <v>165</v>
      </c>
      <c r="C12" s="11" t="s">
        <v>166</v>
      </c>
      <c r="D12" s="11"/>
      <c r="E12" s="11" t="s">
        <v>29</v>
      </c>
      <c r="F12" s="12">
        <v>45838</v>
      </c>
      <c r="G12" s="42">
        <v>8000</v>
      </c>
      <c r="H12" s="17">
        <v>38413</v>
      </c>
      <c r="I12" s="11" t="str">
        <f t="shared" ca="1" si="0"/>
        <v>21 años 0 meses</v>
      </c>
      <c r="J12" s="8">
        <f t="shared" ca="1" si="1"/>
        <v>-266</v>
      </c>
      <c r="K12" s="11">
        <f t="shared" ca="1" si="2"/>
        <v>-266</v>
      </c>
      <c r="L12" s="21">
        <f t="shared" ca="1" si="3"/>
        <v>7691</v>
      </c>
      <c r="M12" s="21">
        <f t="shared" ca="1" si="4"/>
        <v>21.07123287671233</v>
      </c>
      <c r="N12" s="21">
        <f t="shared" ca="1" si="5"/>
        <v>21</v>
      </c>
      <c r="O12" s="21">
        <f t="shared" ca="1" si="6"/>
        <v>26</v>
      </c>
      <c r="P12" s="21">
        <f t="shared" ca="1" si="7"/>
        <v>0</v>
      </c>
      <c r="Q12" s="49"/>
    </row>
    <row r="13" spans="1:17" s="21" customFormat="1" x14ac:dyDescent="0.2">
      <c r="A13" s="33">
        <v>11</v>
      </c>
      <c r="B13" s="11" t="s">
        <v>121</v>
      </c>
      <c r="C13" s="11" t="s">
        <v>152</v>
      </c>
      <c r="D13" s="11"/>
      <c r="E13" s="11" t="s">
        <v>29</v>
      </c>
      <c r="F13" s="12">
        <v>45838</v>
      </c>
      <c r="G13" s="42">
        <v>20000</v>
      </c>
      <c r="H13" s="17">
        <v>38168</v>
      </c>
      <c r="I13" s="11" t="str">
        <f t="shared" ca="1" si="0"/>
        <v>21 años 9 meses</v>
      </c>
      <c r="J13" s="8">
        <f t="shared" ca="1" si="1"/>
        <v>-266</v>
      </c>
      <c r="K13" s="11">
        <f t="shared" ca="1" si="2"/>
        <v>-266</v>
      </c>
      <c r="L13" s="21">
        <f t="shared" ca="1" si="3"/>
        <v>7936</v>
      </c>
      <c r="M13" s="21">
        <f t="shared" ca="1" si="4"/>
        <v>21.742465753424657</v>
      </c>
      <c r="N13" s="21">
        <f t="shared" ca="1" si="5"/>
        <v>21</v>
      </c>
      <c r="O13" s="21">
        <f t="shared" ca="1" si="6"/>
        <v>271</v>
      </c>
      <c r="P13" s="21">
        <f t="shared" ca="1" si="7"/>
        <v>9</v>
      </c>
      <c r="Q13" s="43"/>
    </row>
    <row r="14" spans="1:17" s="21" customFormat="1" x14ac:dyDescent="0.2">
      <c r="A14" s="33">
        <v>12</v>
      </c>
      <c r="B14" s="11" t="s">
        <v>188</v>
      </c>
      <c r="C14" s="11" t="s">
        <v>189</v>
      </c>
      <c r="D14" s="11"/>
      <c r="E14" s="11" t="s">
        <v>30</v>
      </c>
      <c r="F14" s="12">
        <v>46022</v>
      </c>
      <c r="G14" s="42">
        <v>8000</v>
      </c>
      <c r="H14" s="17">
        <v>38175</v>
      </c>
      <c r="I14" s="11" t="str">
        <f t="shared" ca="1" si="0"/>
        <v>21 años 8 meses</v>
      </c>
      <c r="J14" s="8">
        <f ca="1">F14-'Fem Sub 19'!$K$1</f>
        <v>-82</v>
      </c>
      <c r="K14" s="11">
        <f t="shared" ca="1" si="2"/>
        <v>-82</v>
      </c>
      <c r="L14" s="21">
        <f ca="1">'Fem Sub 19'!$K$1-H14</f>
        <v>7929</v>
      </c>
      <c r="M14" s="21">
        <f t="shared" ca="1" si="4"/>
        <v>21.723287671232878</v>
      </c>
      <c r="N14" s="21">
        <f t="shared" ca="1" si="5"/>
        <v>21</v>
      </c>
      <c r="O14" s="21">
        <f t="shared" ca="1" si="6"/>
        <v>264</v>
      </c>
      <c r="P14" s="21">
        <f t="shared" ca="1" si="7"/>
        <v>8</v>
      </c>
      <c r="Q14" s="29"/>
    </row>
    <row r="15" spans="1:17" s="21" customFormat="1" x14ac:dyDescent="0.2">
      <c r="A15" s="33">
        <v>13</v>
      </c>
      <c r="B15" s="11" t="s">
        <v>305</v>
      </c>
      <c r="C15" s="11" t="s">
        <v>306</v>
      </c>
      <c r="D15" s="11"/>
      <c r="E15" s="11" t="s">
        <v>31</v>
      </c>
      <c r="F15" s="12">
        <v>46203</v>
      </c>
      <c r="G15" s="23">
        <v>35000</v>
      </c>
      <c r="H15" s="17">
        <v>37433</v>
      </c>
      <c r="I15" s="11" t="str">
        <f t="shared" ca="1" si="0"/>
        <v>23 años 9 meses</v>
      </c>
      <c r="J15" s="8">
        <f t="shared" ref="J15:J24" ca="1" si="8">F15-$K$1</f>
        <v>99</v>
      </c>
      <c r="K15" s="11">
        <f t="shared" ca="1" si="2"/>
        <v>99</v>
      </c>
      <c r="L15" s="21">
        <f t="shared" ref="L15:L24" ca="1" si="9">$K$1-H15</f>
        <v>8671</v>
      </c>
      <c r="M15" s="21">
        <f t="shared" ca="1" si="4"/>
        <v>23.756164383561643</v>
      </c>
      <c r="N15" s="21">
        <f t="shared" ca="1" si="5"/>
        <v>23</v>
      </c>
      <c r="O15" s="21">
        <f t="shared" ca="1" si="6"/>
        <v>276</v>
      </c>
      <c r="P15" s="21">
        <f t="shared" ca="1" si="7"/>
        <v>9</v>
      </c>
      <c r="Q15" s="43"/>
    </row>
    <row r="16" spans="1:17" s="21" customFormat="1" x14ac:dyDescent="0.2">
      <c r="A16" s="33">
        <v>14</v>
      </c>
      <c r="B16" s="11" t="s">
        <v>488</v>
      </c>
      <c r="C16" s="11" t="s">
        <v>489</v>
      </c>
      <c r="D16" s="11"/>
      <c r="E16" s="11" t="s">
        <v>28</v>
      </c>
      <c r="F16" s="12">
        <v>45657</v>
      </c>
      <c r="G16" s="42">
        <v>20000</v>
      </c>
      <c r="H16" s="17">
        <v>37176</v>
      </c>
      <c r="I16" s="11" t="str">
        <f t="shared" ca="1" si="0"/>
        <v>24 años 5 meses</v>
      </c>
      <c r="J16" s="8">
        <f t="shared" ca="1" si="8"/>
        <v>-447</v>
      </c>
      <c r="K16" s="11">
        <f t="shared" ca="1" si="2"/>
        <v>-447</v>
      </c>
      <c r="L16" s="21">
        <f t="shared" ca="1" si="9"/>
        <v>8928</v>
      </c>
      <c r="M16" s="21">
        <f t="shared" ca="1" si="4"/>
        <v>24.460273972602739</v>
      </c>
      <c r="N16" s="21">
        <f t="shared" ca="1" si="5"/>
        <v>24</v>
      </c>
      <c r="O16" s="21">
        <f t="shared" ca="1" si="6"/>
        <v>168</v>
      </c>
      <c r="P16" s="21">
        <f t="shared" ca="1" si="7"/>
        <v>5</v>
      </c>
      <c r="Q16" s="45"/>
    </row>
    <row r="17" spans="1:17" s="21" customFormat="1" x14ac:dyDescent="0.2">
      <c r="A17" s="33">
        <v>15</v>
      </c>
      <c r="B17" s="11" t="s">
        <v>163</v>
      </c>
      <c r="C17" s="11" t="s">
        <v>164</v>
      </c>
      <c r="D17" s="11"/>
      <c r="E17" s="11" t="s">
        <v>29</v>
      </c>
      <c r="F17" s="12">
        <v>45838</v>
      </c>
      <c r="G17" s="42">
        <v>10000</v>
      </c>
      <c r="H17" s="17">
        <v>38411</v>
      </c>
      <c r="I17" s="11" t="str">
        <f t="shared" ca="1" si="0"/>
        <v>21 años 0 meses</v>
      </c>
      <c r="J17" s="8">
        <f t="shared" ca="1" si="8"/>
        <v>-266</v>
      </c>
      <c r="K17" s="11">
        <f t="shared" ca="1" si="2"/>
        <v>-266</v>
      </c>
      <c r="L17" s="21">
        <f t="shared" ca="1" si="9"/>
        <v>7693</v>
      </c>
      <c r="M17" s="21">
        <f t="shared" ca="1" si="4"/>
        <v>21.076712328767123</v>
      </c>
      <c r="N17" s="21">
        <f t="shared" ca="1" si="5"/>
        <v>21</v>
      </c>
      <c r="O17" s="21">
        <f t="shared" ca="1" si="6"/>
        <v>28</v>
      </c>
      <c r="P17" s="21">
        <f t="shared" ca="1" si="7"/>
        <v>0</v>
      </c>
      <c r="Q17" s="54" t="s">
        <v>479</v>
      </c>
    </row>
    <row r="18" spans="1:17" s="21" customFormat="1" x14ac:dyDescent="0.2">
      <c r="A18" s="33">
        <v>16</v>
      </c>
      <c r="B18" s="11" t="s">
        <v>480</v>
      </c>
      <c r="C18" s="11" t="s">
        <v>481</v>
      </c>
      <c r="D18" s="11"/>
      <c r="E18" s="11" t="s">
        <v>28</v>
      </c>
      <c r="F18" s="12">
        <v>45657</v>
      </c>
      <c r="G18" s="23">
        <v>30000</v>
      </c>
      <c r="H18" s="17">
        <v>38582</v>
      </c>
      <c r="I18" s="11" t="str">
        <f t="shared" ca="1" si="0"/>
        <v>20 años 7 meses</v>
      </c>
      <c r="J18" s="8">
        <f t="shared" ca="1" si="8"/>
        <v>-447</v>
      </c>
      <c r="K18" s="11">
        <f t="shared" ca="1" si="2"/>
        <v>-447</v>
      </c>
      <c r="L18" s="21">
        <f t="shared" ca="1" si="9"/>
        <v>7522</v>
      </c>
      <c r="M18" s="21">
        <f t="shared" ca="1" si="4"/>
        <v>20.608219178082191</v>
      </c>
      <c r="N18" s="21">
        <f t="shared" ca="1" si="5"/>
        <v>20</v>
      </c>
      <c r="O18" s="21">
        <f t="shared" ca="1" si="6"/>
        <v>222</v>
      </c>
      <c r="P18" s="21">
        <f t="shared" ca="1" si="7"/>
        <v>7</v>
      </c>
      <c r="Q18" s="49"/>
    </row>
    <row r="19" spans="1:17" s="21" customFormat="1" x14ac:dyDescent="0.2">
      <c r="A19" s="33">
        <v>17</v>
      </c>
      <c r="B19" s="11" t="s">
        <v>125</v>
      </c>
      <c r="C19" s="11" t="s">
        <v>126</v>
      </c>
      <c r="D19" s="11"/>
      <c r="E19" s="11" t="s">
        <v>27</v>
      </c>
      <c r="F19" s="12">
        <v>45473</v>
      </c>
      <c r="G19" s="42">
        <v>43000</v>
      </c>
      <c r="H19" s="17">
        <v>35054</v>
      </c>
      <c r="I19" s="11" t="str">
        <f t="shared" ca="1" si="0"/>
        <v>30 años 3 meses</v>
      </c>
      <c r="J19" s="8">
        <f t="shared" ca="1" si="8"/>
        <v>-631</v>
      </c>
      <c r="K19" s="11">
        <f t="shared" ca="1" si="2"/>
        <v>-631</v>
      </c>
      <c r="L19" s="21">
        <f t="shared" ca="1" si="9"/>
        <v>11050</v>
      </c>
      <c r="M19" s="21">
        <f t="shared" ca="1" si="4"/>
        <v>30.273972602739725</v>
      </c>
      <c r="N19" s="21">
        <f t="shared" ca="1" si="5"/>
        <v>30</v>
      </c>
      <c r="O19" s="21">
        <f t="shared" ca="1" si="6"/>
        <v>100</v>
      </c>
      <c r="P19" s="21">
        <f t="shared" ca="1" si="7"/>
        <v>3</v>
      </c>
      <c r="Q19" s="43" t="s">
        <v>492</v>
      </c>
    </row>
    <row r="20" spans="1:17" s="21" customFormat="1" x14ac:dyDescent="0.2">
      <c r="A20" s="33">
        <v>18</v>
      </c>
      <c r="B20" s="11" t="s">
        <v>127</v>
      </c>
      <c r="C20" s="11" t="s">
        <v>128</v>
      </c>
      <c r="D20" s="11"/>
      <c r="E20" s="11" t="s">
        <v>29</v>
      </c>
      <c r="F20" s="12">
        <v>45838</v>
      </c>
      <c r="G20" s="42">
        <v>35000</v>
      </c>
      <c r="H20" s="17">
        <v>34711</v>
      </c>
      <c r="I20" s="11" t="str">
        <f t="shared" ca="1" si="0"/>
        <v>31 años 2 meses</v>
      </c>
      <c r="J20" s="8">
        <f t="shared" ca="1" si="8"/>
        <v>-266</v>
      </c>
      <c r="K20" s="11">
        <f t="shared" ca="1" si="2"/>
        <v>-266</v>
      </c>
      <c r="L20" s="21">
        <f t="shared" ca="1" si="9"/>
        <v>11393</v>
      </c>
      <c r="M20" s="21">
        <f t="shared" ca="1" si="4"/>
        <v>31.213698630136985</v>
      </c>
      <c r="N20" s="21">
        <f t="shared" ca="1" si="5"/>
        <v>31</v>
      </c>
      <c r="O20" s="21">
        <f t="shared" ca="1" si="6"/>
        <v>78</v>
      </c>
      <c r="P20" s="21">
        <f t="shared" ca="1" si="7"/>
        <v>2</v>
      </c>
      <c r="Q20" s="45"/>
    </row>
    <row r="21" spans="1:17" s="21" customFormat="1" x14ac:dyDescent="0.2">
      <c r="A21" s="33">
        <v>19</v>
      </c>
      <c r="B21" s="11" t="s">
        <v>129</v>
      </c>
      <c r="C21" s="11" t="s">
        <v>130</v>
      </c>
      <c r="D21" s="11"/>
      <c r="E21" s="11" t="s">
        <v>29</v>
      </c>
      <c r="F21" s="12">
        <v>46022</v>
      </c>
      <c r="G21" s="42">
        <v>28000</v>
      </c>
      <c r="H21" s="17">
        <v>37517</v>
      </c>
      <c r="I21" s="11" t="str">
        <f t="shared" ca="1" si="0"/>
        <v>23 años 6 meses</v>
      </c>
      <c r="J21" s="8">
        <f t="shared" ca="1" si="8"/>
        <v>-82</v>
      </c>
      <c r="K21" s="11">
        <f t="shared" ca="1" si="2"/>
        <v>-82</v>
      </c>
      <c r="L21" s="21">
        <f t="shared" ca="1" si="9"/>
        <v>8587</v>
      </c>
      <c r="M21" s="21">
        <f t="shared" ca="1" si="4"/>
        <v>23.526027397260275</v>
      </c>
      <c r="N21" s="21">
        <f t="shared" ca="1" si="5"/>
        <v>23</v>
      </c>
      <c r="O21" s="21">
        <f t="shared" ca="1" si="6"/>
        <v>192</v>
      </c>
      <c r="P21" s="21">
        <f t="shared" ca="1" si="7"/>
        <v>6</v>
      </c>
    </row>
    <row r="22" spans="1:17" s="21" customFormat="1" x14ac:dyDescent="0.2">
      <c r="A22" s="33">
        <v>20</v>
      </c>
      <c r="B22" s="11" t="s">
        <v>432</v>
      </c>
      <c r="C22" s="11" t="s">
        <v>433</v>
      </c>
      <c r="D22" s="11"/>
      <c r="E22" s="11" t="s">
        <v>29</v>
      </c>
      <c r="F22" s="12">
        <v>45838</v>
      </c>
      <c r="G22" s="42">
        <v>65000</v>
      </c>
      <c r="H22" s="17">
        <v>37449</v>
      </c>
      <c r="I22" s="11" t="str">
        <f t="shared" ca="1" si="0"/>
        <v>23 años 8 meses</v>
      </c>
      <c r="J22" s="8">
        <f t="shared" ca="1" si="8"/>
        <v>-266</v>
      </c>
      <c r="K22" s="11">
        <f t="shared" ca="1" si="2"/>
        <v>-266</v>
      </c>
      <c r="L22" s="21">
        <f t="shared" ca="1" si="9"/>
        <v>8655</v>
      </c>
      <c r="M22" s="21">
        <f t="shared" ca="1" si="4"/>
        <v>23.712328767123289</v>
      </c>
      <c r="N22" s="21">
        <f t="shared" ca="1" si="5"/>
        <v>23</v>
      </c>
      <c r="O22" s="21">
        <f t="shared" ca="1" si="6"/>
        <v>260</v>
      </c>
      <c r="P22" s="21">
        <f t="shared" ca="1" si="7"/>
        <v>8</v>
      </c>
      <c r="Q22" s="45"/>
    </row>
    <row r="23" spans="1:17" s="21" customFormat="1" x14ac:dyDescent="0.2">
      <c r="A23" s="33">
        <v>21</v>
      </c>
      <c r="B23" s="11" t="s">
        <v>486</v>
      </c>
      <c r="C23" s="11" t="s">
        <v>487</v>
      </c>
      <c r="D23" s="11"/>
      <c r="E23" s="11" t="s">
        <v>28</v>
      </c>
      <c r="F23" s="12">
        <v>45657</v>
      </c>
      <c r="G23" s="42">
        <v>27000</v>
      </c>
      <c r="H23" s="17">
        <v>36130</v>
      </c>
      <c r="I23" s="11" t="str">
        <f t="shared" ca="1" si="0"/>
        <v>27 años 3 meses</v>
      </c>
      <c r="J23" s="8">
        <f t="shared" ca="1" si="8"/>
        <v>-447</v>
      </c>
      <c r="K23" s="11">
        <f t="shared" ca="1" si="2"/>
        <v>-447</v>
      </c>
      <c r="L23" s="21">
        <f t="shared" ca="1" si="9"/>
        <v>9974</v>
      </c>
      <c r="M23" s="21">
        <f t="shared" ca="1" si="4"/>
        <v>27.326027397260273</v>
      </c>
      <c r="N23" s="21">
        <f t="shared" ca="1" si="5"/>
        <v>27</v>
      </c>
      <c r="O23" s="21">
        <f t="shared" ca="1" si="6"/>
        <v>119</v>
      </c>
      <c r="P23" s="21">
        <f t="shared" ca="1" si="7"/>
        <v>3</v>
      </c>
      <c r="Q23" s="45"/>
    </row>
    <row r="24" spans="1:17" s="21" customFormat="1" x14ac:dyDescent="0.2">
      <c r="A24" s="33">
        <v>22</v>
      </c>
      <c r="B24" s="11" t="s">
        <v>434</v>
      </c>
      <c r="C24" s="11" t="s">
        <v>435</v>
      </c>
      <c r="D24" s="11"/>
      <c r="E24" s="11" t="s">
        <v>27</v>
      </c>
      <c r="F24" s="12">
        <v>45473</v>
      </c>
      <c r="G24" s="42">
        <v>35000</v>
      </c>
      <c r="H24" s="17">
        <v>35632</v>
      </c>
      <c r="I24" s="11" t="str">
        <f t="shared" ca="1" si="0"/>
        <v>28 años 8 meses</v>
      </c>
      <c r="J24" s="8">
        <f t="shared" ca="1" si="8"/>
        <v>-631</v>
      </c>
      <c r="K24" s="11">
        <f t="shared" ca="1" si="2"/>
        <v>-631</v>
      </c>
      <c r="L24" s="21">
        <f t="shared" ca="1" si="9"/>
        <v>10472</v>
      </c>
      <c r="M24" s="21">
        <f t="shared" ca="1" si="4"/>
        <v>28.69041095890411</v>
      </c>
      <c r="N24" s="21">
        <f t="shared" ca="1" si="5"/>
        <v>28</v>
      </c>
      <c r="O24" s="21">
        <f t="shared" ca="1" si="6"/>
        <v>252</v>
      </c>
      <c r="P24" s="21">
        <f t="shared" ca="1" si="7"/>
        <v>8</v>
      </c>
      <c r="Q24" s="45"/>
    </row>
    <row r="25" spans="1:17" s="21" customFormat="1" x14ac:dyDescent="0.2">
      <c r="A25" s="33">
        <v>23</v>
      </c>
      <c r="B25" s="11" t="s">
        <v>187</v>
      </c>
      <c r="C25" s="11" t="s">
        <v>201</v>
      </c>
      <c r="D25" s="11"/>
      <c r="E25" s="11" t="s">
        <v>30</v>
      </c>
      <c r="F25" s="12">
        <v>46022</v>
      </c>
      <c r="G25" s="42">
        <v>16500</v>
      </c>
      <c r="H25" s="17">
        <v>39280</v>
      </c>
      <c r="I25" s="11" t="str">
        <f t="shared" ca="1" si="0"/>
        <v>18 años 8 meses</v>
      </c>
      <c r="J25" s="8">
        <f ca="1">F25-'Fem Sub 19'!$K$1</f>
        <v>-82</v>
      </c>
      <c r="K25" s="11">
        <f t="shared" ca="1" si="2"/>
        <v>-82</v>
      </c>
      <c r="L25" s="21">
        <f ca="1">'Fem Sub 19'!$K$1-H25</f>
        <v>6824</v>
      </c>
      <c r="M25" s="21">
        <f t="shared" ca="1" si="4"/>
        <v>18.695890410958903</v>
      </c>
      <c r="N25" s="21">
        <f t="shared" ca="1" si="5"/>
        <v>18</v>
      </c>
      <c r="O25" s="21">
        <f t="shared" ca="1" si="6"/>
        <v>254</v>
      </c>
      <c r="P25" s="21">
        <f t="shared" ca="1" si="7"/>
        <v>8</v>
      </c>
      <c r="Q25" s="54" t="s">
        <v>479</v>
      </c>
    </row>
    <row r="26" spans="1:17" s="21" customFormat="1" x14ac:dyDescent="0.2">
      <c r="A26" s="33">
        <v>24</v>
      </c>
      <c r="B26" s="11" t="s">
        <v>343</v>
      </c>
      <c r="C26" s="11" t="s">
        <v>344</v>
      </c>
      <c r="D26" s="11"/>
      <c r="E26" s="11" t="s">
        <v>27</v>
      </c>
      <c r="F26" s="12">
        <v>45473</v>
      </c>
      <c r="G26" s="42">
        <v>20000</v>
      </c>
      <c r="H26" s="17">
        <v>36664</v>
      </c>
      <c r="I26" s="11" t="str">
        <f t="shared" ca="1" si="0"/>
        <v>25 años 10 meses</v>
      </c>
      <c r="J26" s="8">
        <f ca="1">F26-$K$1</f>
        <v>-631</v>
      </c>
      <c r="K26" s="11">
        <f t="shared" ca="1" si="2"/>
        <v>-631</v>
      </c>
      <c r="L26" s="21">
        <f ca="1">$K$1-H26</f>
        <v>9440</v>
      </c>
      <c r="M26" s="21">
        <f t="shared" ca="1" si="4"/>
        <v>25.863013698630137</v>
      </c>
      <c r="N26" s="21">
        <f t="shared" ca="1" si="5"/>
        <v>25</v>
      </c>
      <c r="O26" s="21">
        <f t="shared" ca="1" si="6"/>
        <v>315</v>
      </c>
      <c r="P26" s="21">
        <f t="shared" ca="1" si="7"/>
        <v>10</v>
      </c>
      <c r="Q26" s="45"/>
    </row>
    <row r="27" spans="1:17" ht="15" x14ac:dyDescent="0.2">
      <c r="A27"/>
      <c r="F27"/>
      <c r="J27"/>
      <c r="L27" s="15"/>
    </row>
    <row r="28" spans="1:17" ht="15" x14ac:dyDescent="0.2">
      <c r="A28"/>
      <c r="F28"/>
      <c r="J28"/>
      <c r="L28" s="15"/>
    </row>
    <row r="29" spans="1:17" ht="15" x14ac:dyDescent="0.2">
      <c r="A29"/>
      <c r="F29"/>
      <c r="J29"/>
      <c r="L29" s="15"/>
    </row>
    <row r="30" spans="1:17" ht="15" x14ac:dyDescent="0.2">
      <c r="A30"/>
      <c r="F30"/>
      <c r="J30"/>
      <c r="L30" s="15"/>
    </row>
    <row r="31" spans="1:17" ht="15" x14ac:dyDescent="0.2">
      <c r="A31"/>
      <c r="F31"/>
      <c r="J31"/>
      <c r="L31" s="15"/>
    </row>
    <row r="32" spans="1:17" ht="15" x14ac:dyDescent="0.2">
      <c r="A32"/>
      <c r="F32"/>
      <c r="J32"/>
      <c r="L32" s="15"/>
    </row>
    <row r="33" spans="1:12" ht="15" x14ac:dyDescent="0.2">
      <c r="A33"/>
      <c r="F33"/>
      <c r="J33"/>
      <c r="L33" s="15"/>
    </row>
    <row r="34" spans="1:12" ht="15" x14ac:dyDescent="0.2">
      <c r="A34"/>
      <c r="F34"/>
      <c r="J34"/>
      <c r="L34" s="15"/>
    </row>
    <row r="35" spans="1:12" ht="15" x14ac:dyDescent="0.2">
      <c r="A35"/>
      <c r="F35"/>
      <c r="J35"/>
      <c r="L35" s="15"/>
    </row>
    <row r="36" spans="1:12" ht="15" x14ac:dyDescent="0.2">
      <c r="A36"/>
      <c r="F36"/>
      <c r="J36"/>
      <c r="L36" s="15"/>
    </row>
  </sheetData>
  <sheetProtection algorithmName="SHA-512" hashValue="m2+lxfffUBud3rIi2NkSTj+mUH3BUSoqC+MYuREQiwBgYo/+L0opCVa1l3xot210fy6TKl2BoR06Jfajm6cg/g==" saltValue="99mzK0IPfpnrvIFin7gqmQ==" spinCount="100000" sheet="1" sort="0" autoFilter="0"/>
  <sortState xmlns:xlrd2="http://schemas.microsoft.com/office/spreadsheetml/2017/richdata2" ref="A3:Q26">
    <sortCondition ref="C3:C26"/>
  </sortState>
  <mergeCells count="1">
    <mergeCell ref="A1:J1"/>
  </mergeCells>
  <phoneticPr fontId="12" type="noConversion"/>
  <conditionalFormatting sqref="E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26">
    <cfRule type="containsText" dxfId="1" priority="1" operator="containsText" text="Clausura 2018">
      <formula>NOT(ISERROR(SEARCH("Clausura 2018",F3)))</formula>
    </cfRule>
  </conditionalFormatting>
  <conditionalFormatting sqref="G2:I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 J5 J10:J17">
    <cfRule type="iconSet" priority="892">
      <iconSet iconSet="3Symbols" showValue="0">
        <cfvo type="percent" val="0"/>
        <cfvo type="num" val="365"/>
        <cfvo type="num" val="547"/>
      </iconSet>
    </cfRule>
  </conditionalFormatting>
  <conditionalFormatting sqref="J4">
    <cfRule type="iconSet" priority="746">
      <iconSet iconSet="3Symbols" showValue="0">
        <cfvo type="percent" val="0"/>
        <cfvo type="num" val="365"/>
        <cfvo type="num" val="547"/>
      </iconSet>
    </cfRule>
  </conditionalFormatting>
  <conditionalFormatting sqref="J7">
    <cfRule type="iconSet" priority="3">
      <iconSet iconSet="3Symbols" showValue="0">
        <cfvo type="percent" val="0"/>
        <cfvo type="num" val="365"/>
        <cfvo type="num" val="547"/>
      </iconSet>
    </cfRule>
  </conditionalFormatting>
  <conditionalFormatting sqref="J8">
    <cfRule type="iconSet" priority="791">
      <iconSet iconSet="3Symbols" showValue="0">
        <cfvo type="percent" val="0"/>
        <cfvo type="num" val="365"/>
        <cfvo type="num" val="547"/>
      </iconSet>
    </cfRule>
  </conditionalFormatting>
  <conditionalFormatting sqref="J9">
    <cfRule type="iconSet" priority="5">
      <iconSet iconSet="3Symbols" showValue="0">
        <cfvo type="percent" val="0"/>
        <cfvo type="num" val="365"/>
        <cfvo type="num" val="547"/>
      </iconSet>
    </cfRule>
  </conditionalFormatting>
  <conditionalFormatting sqref="J18 J6">
    <cfRule type="iconSet" priority="700">
      <iconSet iconSet="3Symbols" showValue="0">
        <cfvo type="percent" val="0"/>
        <cfvo type="num" val="365"/>
        <cfvo type="num" val="547"/>
      </iconSet>
    </cfRule>
  </conditionalFormatting>
  <conditionalFormatting sqref="J19:J20">
    <cfRule type="iconSet" priority="31">
      <iconSet iconSet="3Symbols" showValue="0">
        <cfvo type="percent" val="0"/>
        <cfvo type="num" val="365"/>
        <cfvo type="num" val="547"/>
      </iconSet>
    </cfRule>
  </conditionalFormatting>
  <conditionalFormatting sqref="J21:J22">
    <cfRule type="iconSet" priority="794">
      <iconSet iconSet="3Symbols" showValue="0">
        <cfvo type="percent" val="0"/>
        <cfvo type="num" val="365"/>
        <cfvo type="num" val="547"/>
      </iconSet>
    </cfRule>
  </conditionalFormatting>
  <conditionalFormatting sqref="J23:J26">
    <cfRule type="iconSet" priority="893">
      <iconSet iconSet="3Symbols" showValue="0">
        <cfvo type="percent" val="0"/>
        <cfvo type="num" val="365"/>
        <cfvo type="num" val="547"/>
      </iconSet>
    </cfRule>
  </conditionalFormatting>
  <conditionalFormatting sqref="K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D573-1EEE-412A-B1F4-EF397B138010}">
  <sheetPr codeName="Hoja8"/>
  <dimension ref="A1:Q48"/>
  <sheetViews>
    <sheetView showGridLines="0" zoomScale="80" zoomScaleNormal="80" workbookViewId="0">
      <pane ySplit="2" topLeftCell="A3" activePane="bottomLeft" state="frozen"/>
      <selection pane="bottomLeft" activeCell="R6" sqref="R6"/>
    </sheetView>
  </sheetViews>
  <sheetFormatPr baseColWidth="10" defaultRowHeight="17" x14ac:dyDescent="0.2"/>
  <cols>
    <col min="1" max="1" width="4.5" style="3" customWidth="1"/>
    <col min="2" max="2" width="14.5" customWidth="1"/>
    <col min="3" max="3" width="16.1640625" customWidth="1"/>
    <col min="4" max="4" width="4.33203125" hidden="1" customWidth="1"/>
    <col min="5" max="5" width="14.33203125" customWidth="1"/>
    <col min="6" max="6" width="11.33203125" style="18" hidden="1" customWidth="1"/>
    <col min="7" max="7" width="12.83203125" customWidth="1"/>
    <col min="8" max="8" width="11" customWidth="1"/>
    <col min="9" max="9" width="12.5" bestFit="1" customWidth="1"/>
    <col min="10" max="10" width="11.33203125" style="7" customWidth="1"/>
    <col min="11" max="11" width="12.33203125" customWidth="1"/>
    <col min="12" max="12" width="5.1640625" hidden="1" customWidth="1"/>
    <col min="13" max="13" width="12.33203125" hidden="1" customWidth="1"/>
    <col min="14" max="14" width="3.1640625" hidden="1" customWidth="1"/>
    <col min="15" max="15" width="4.1640625" hidden="1" customWidth="1"/>
    <col min="16" max="16" width="7.33203125" hidden="1" customWidth="1"/>
    <col min="17" max="17" width="7.33203125" style="48" customWidth="1"/>
    <col min="18" max="18" width="11.5" customWidth="1"/>
    <col min="20" max="20" width="11.5" customWidth="1"/>
  </cols>
  <sheetData>
    <row r="1" spans="1:17" ht="68.25" customHeight="1" x14ac:dyDescent="0.2">
      <c r="A1" s="72" t="s">
        <v>503</v>
      </c>
      <c r="B1" s="72"/>
      <c r="C1" s="72"/>
      <c r="D1" s="72"/>
      <c r="E1" s="72"/>
      <c r="F1" s="72"/>
      <c r="G1" s="72"/>
      <c r="H1" s="72"/>
      <c r="I1" s="72"/>
      <c r="J1" s="72"/>
      <c r="K1" s="13">
        <f ca="1">TODAY()</f>
        <v>46104</v>
      </c>
    </row>
    <row r="2" spans="1:17" ht="26" x14ac:dyDescent="0.2">
      <c r="A2" s="31" t="s">
        <v>18</v>
      </c>
      <c r="B2" s="31" t="s">
        <v>9</v>
      </c>
      <c r="C2" s="31" t="s">
        <v>10</v>
      </c>
      <c r="D2" s="32" t="s">
        <v>85</v>
      </c>
      <c r="E2" s="32" t="s">
        <v>11</v>
      </c>
      <c r="F2" s="33"/>
      <c r="G2" s="34" t="s">
        <v>66</v>
      </c>
      <c r="H2" s="34" t="s">
        <v>84</v>
      </c>
      <c r="I2" s="34" t="s">
        <v>86</v>
      </c>
      <c r="J2" s="31" t="s">
        <v>17</v>
      </c>
      <c r="K2" s="35" t="s">
        <v>12</v>
      </c>
    </row>
    <row r="3" spans="1:17" s="21" customFormat="1" x14ac:dyDescent="0.2">
      <c r="A3" s="33">
        <v>1</v>
      </c>
      <c r="B3" s="71" t="s">
        <v>526</v>
      </c>
      <c r="C3" s="11" t="s">
        <v>527</v>
      </c>
      <c r="D3" s="11"/>
      <c r="E3" s="11" t="s">
        <v>29</v>
      </c>
      <c r="F3" s="12">
        <v>45838</v>
      </c>
      <c r="G3" s="42">
        <v>0</v>
      </c>
      <c r="H3" s="17">
        <v>40068</v>
      </c>
      <c r="I3" s="11" t="str">
        <f t="shared" ref="I3:I43" ca="1" si="0">_xlfn.FLOOR.MATH(M3)&amp;" años "&amp;P3&amp;" meses"</f>
        <v>16 años 6 meses</v>
      </c>
      <c r="J3" s="8">
        <f t="shared" ref="J3:J43" ca="1" si="1">F3-$K$1</f>
        <v>-266</v>
      </c>
      <c r="K3" s="11">
        <f t="shared" ref="K3:K43" ca="1" si="2">J3</f>
        <v>-266</v>
      </c>
      <c r="L3" s="21">
        <f t="shared" ref="L3:L43" ca="1" si="3">$K$1-H3</f>
        <v>6036</v>
      </c>
      <c r="M3" s="21">
        <f t="shared" ref="M3:M43" ca="1" si="4">L3/365</f>
        <v>16.536986301369861</v>
      </c>
      <c r="N3" s="21">
        <f t="shared" ref="N3:N43" ca="1" si="5">_xlfn.FLOOR.MATH(M3)</f>
        <v>16</v>
      </c>
      <c r="O3" s="21">
        <f t="shared" ref="O3:O43" ca="1" si="6">L3-(N3*365)</f>
        <v>196</v>
      </c>
      <c r="P3" s="21">
        <f t="shared" ref="P3:P43" ca="1" si="7">_xlfn.FLOOR.MATH(O3/30)</f>
        <v>6</v>
      </c>
      <c r="Q3" s="49"/>
    </row>
    <row r="4" spans="1:17" s="21" customFormat="1" x14ac:dyDescent="0.2">
      <c r="A4" s="33">
        <v>2</v>
      </c>
      <c r="B4" s="71" t="s">
        <v>286</v>
      </c>
      <c r="C4" s="11" t="s">
        <v>287</v>
      </c>
      <c r="D4" s="11"/>
      <c r="E4" s="11" t="s">
        <v>27</v>
      </c>
      <c r="F4" s="12">
        <v>45473</v>
      </c>
      <c r="G4" s="42">
        <v>0</v>
      </c>
      <c r="H4" s="17">
        <v>39512</v>
      </c>
      <c r="I4" s="11" t="str">
        <f t="shared" ca="1" si="0"/>
        <v>18 años 0 meses</v>
      </c>
      <c r="J4" s="8">
        <f t="shared" ca="1" si="1"/>
        <v>-631</v>
      </c>
      <c r="K4" s="11">
        <f t="shared" ca="1" si="2"/>
        <v>-631</v>
      </c>
      <c r="L4" s="21">
        <f t="shared" ca="1" si="3"/>
        <v>6592</v>
      </c>
      <c r="M4" s="21">
        <f t="shared" ca="1" si="4"/>
        <v>18.06027397260274</v>
      </c>
      <c r="N4" s="21">
        <f t="shared" ca="1" si="5"/>
        <v>18</v>
      </c>
      <c r="O4" s="21">
        <f t="shared" ca="1" si="6"/>
        <v>22</v>
      </c>
      <c r="P4" s="21">
        <f t="shared" ca="1" si="7"/>
        <v>0</v>
      </c>
      <c r="Q4" s="49"/>
    </row>
    <row r="5" spans="1:17" s="21" customFormat="1" x14ac:dyDescent="0.2">
      <c r="A5" s="33">
        <v>3</v>
      </c>
      <c r="B5" s="71" t="s">
        <v>288</v>
      </c>
      <c r="C5" s="11" t="s">
        <v>289</v>
      </c>
      <c r="D5" s="11"/>
      <c r="E5" s="11" t="s">
        <v>27</v>
      </c>
      <c r="F5" s="12">
        <v>45473</v>
      </c>
      <c r="G5" s="42">
        <v>0</v>
      </c>
      <c r="H5" s="17">
        <v>38044</v>
      </c>
      <c r="I5" s="11" t="str">
        <f t="shared" ca="1" si="0"/>
        <v>22 años 1 meses</v>
      </c>
      <c r="J5" s="8">
        <f t="shared" ca="1" si="1"/>
        <v>-631</v>
      </c>
      <c r="K5" s="11">
        <f t="shared" ca="1" si="2"/>
        <v>-631</v>
      </c>
      <c r="L5" s="21">
        <f t="shared" ca="1" si="3"/>
        <v>8060</v>
      </c>
      <c r="M5" s="21">
        <f t="shared" ca="1" si="4"/>
        <v>22.082191780821919</v>
      </c>
      <c r="N5" s="21">
        <f t="shared" ca="1" si="5"/>
        <v>22</v>
      </c>
      <c r="O5" s="21">
        <f t="shared" ca="1" si="6"/>
        <v>30</v>
      </c>
      <c r="P5" s="21">
        <f t="shared" ca="1" si="7"/>
        <v>1</v>
      </c>
      <c r="Q5" s="49"/>
    </row>
    <row r="6" spans="1:17" s="21" customFormat="1" x14ac:dyDescent="0.2">
      <c r="A6" s="33">
        <v>4</v>
      </c>
      <c r="B6" s="71" t="s">
        <v>290</v>
      </c>
      <c r="C6" s="11" t="s">
        <v>291</v>
      </c>
      <c r="D6" s="11"/>
      <c r="E6" s="11" t="s">
        <v>27</v>
      </c>
      <c r="F6" s="12">
        <v>45473</v>
      </c>
      <c r="G6" s="42">
        <v>0</v>
      </c>
      <c r="H6" s="17">
        <v>39229</v>
      </c>
      <c r="I6" s="11" t="str">
        <f t="shared" ca="1" si="0"/>
        <v>18 años 10 meses</v>
      </c>
      <c r="J6" s="8">
        <f t="shared" ca="1" si="1"/>
        <v>-631</v>
      </c>
      <c r="K6" s="11">
        <f t="shared" ca="1" si="2"/>
        <v>-631</v>
      </c>
      <c r="L6" s="21">
        <f t="shared" ca="1" si="3"/>
        <v>6875</v>
      </c>
      <c r="M6" s="21">
        <f t="shared" ca="1" si="4"/>
        <v>18.835616438356166</v>
      </c>
      <c r="N6" s="21">
        <f t="shared" ca="1" si="5"/>
        <v>18</v>
      </c>
      <c r="O6" s="21">
        <f t="shared" ca="1" si="6"/>
        <v>305</v>
      </c>
      <c r="P6" s="21">
        <f t="shared" ca="1" si="7"/>
        <v>10</v>
      </c>
      <c r="Q6" s="49"/>
    </row>
    <row r="7" spans="1:17" s="21" customFormat="1" x14ac:dyDescent="0.2">
      <c r="A7" s="33">
        <v>5</v>
      </c>
      <c r="B7" s="71" t="s">
        <v>530</v>
      </c>
      <c r="C7" s="11" t="s">
        <v>531</v>
      </c>
      <c r="D7" s="11"/>
      <c r="E7" s="11" t="s">
        <v>29</v>
      </c>
      <c r="F7" s="12">
        <v>45838</v>
      </c>
      <c r="G7" s="42">
        <v>0</v>
      </c>
      <c r="H7" s="17">
        <v>40872</v>
      </c>
      <c r="I7" s="11" t="str">
        <f t="shared" ca="1" si="0"/>
        <v>14 años 4 meses</v>
      </c>
      <c r="J7" s="8">
        <f t="shared" ca="1" si="1"/>
        <v>-266</v>
      </c>
      <c r="K7" s="11">
        <f t="shared" ca="1" si="2"/>
        <v>-266</v>
      </c>
      <c r="L7" s="21">
        <f t="shared" ca="1" si="3"/>
        <v>5232</v>
      </c>
      <c r="M7" s="21">
        <f t="shared" ca="1" si="4"/>
        <v>14.334246575342465</v>
      </c>
      <c r="N7" s="21">
        <f t="shared" ca="1" si="5"/>
        <v>14</v>
      </c>
      <c r="O7" s="21">
        <f t="shared" ca="1" si="6"/>
        <v>122</v>
      </c>
      <c r="P7" s="21">
        <f t="shared" ca="1" si="7"/>
        <v>4</v>
      </c>
      <c r="Q7" s="49"/>
    </row>
    <row r="8" spans="1:17" s="21" customFormat="1" x14ac:dyDescent="0.2">
      <c r="A8" s="33">
        <v>6</v>
      </c>
      <c r="B8" s="71" t="s">
        <v>504</v>
      </c>
      <c r="C8" s="11" t="s">
        <v>505</v>
      </c>
      <c r="D8" s="11"/>
      <c r="E8" s="11" t="s">
        <v>29</v>
      </c>
      <c r="F8" s="12">
        <v>45838</v>
      </c>
      <c r="G8" s="42">
        <v>0</v>
      </c>
      <c r="H8" s="17">
        <v>38722</v>
      </c>
      <c r="I8" s="11" t="str">
        <f t="shared" ca="1" si="0"/>
        <v>20 años 2 meses</v>
      </c>
      <c r="J8" s="8">
        <f t="shared" ca="1" si="1"/>
        <v>-266</v>
      </c>
      <c r="K8" s="11">
        <f t="shared" ca="1" si="2"/>
        <v>-266</v>
      </c>
      <c r="L8" s="21">
        <f t="shared" ca="1" si="3"/>
        <v>7382</v>
      </c>
      <c r="M8" s="21">
        <f t="shared" ca="1" si="4"/>
        <v>20.224657534246575</v>
      </c>
      <c r="N8" s="21">
        <f t="shared" ca="1" si="5"/>
        <v>20</v>
      </c>
      <c r="O8" s="21">
        <f t="shared" ca="1" si="6"/>
        <v>82</v>
      </c>
      <c r="P8" s="21">
        <f t="shared" ca="1" si="7"/>
        <v>2</v>
      </c>
      <c r="Q8" s="49"/>
    </row>
    <row r="9" spans="1:17" s="21" customFormat="1" x14ac:dyDescent="0.2">
      <c r="A9" s="33">
        <v>7</v>
      </c>
      <c r="B9" s="71" t="s">
        <v>528</v>
      </c>
      <c r="C9" s="11" t="s">
        <v>529</v>
      </c>
      <c r="D9" s="11"/>
      <c r="E9" s="11" t="s">
        <v>29</v>
      </c>
      <c r="F9" s="12">
        <v>45838</v>
      </c>
      <c r="G9" s="42">
        <v>0</v>
      </c>
      <c r="H9" s="17">
        <v>39231</v>
      </c>
      <c r="I9" s="11" t="str">
        <f t="shared" ca="1" si="0"/>
        <v>18 años 10 meses</v>
      </c>
      <c r="J9" s="8">
        <f t="shared" ca="1" si="1"/>
        <v>-266</v>
      </c>
      <c r="K9" s="11">
        <f t="shared" ca="1" si="2"/>
        <v>-266</v>
      </c>
      <c r="L9" s="21">
        <f t="shared" ca="1" si="3"/>
        <v>6873</v>
      </c>
      <c r="M9" s="21">
        <f t="shared" ca="1" si="4"/>
        <v>18.830136986301369</v>
      </c>
      <c r="N9" s="21">
        <f t="shared" ca="1" si="5"/>
        <v>18</v>
      </c>
      <c r="O9" s="21">
        <f t="shared" ca="1" si="6"/>
        <v>303</v>
      </c>
      <c r="P9" s="21">
        <f t="shared" ca="1" si="7"/>
        <v>10</v>
      </c>
      <c r="Q9" s="49"/>
    </row>
    <row r="10" spans="1:17" s="21" customFormat="1" x14ac:dyDescent="0.2">
      <c r="A10" s="33">
        <v>8</v>
      </c>
      <c r="B10" s="71" t="s">
        <v>539</v>
      </c>
      <c r="C10" s="11" t="s">
        <v>540</v>
      </c>
      <c r="D10" s="11"/>
      <c r="E10" s="11" t="s">
        <v>29</v>
      </c>
      <c r="F10" s="12">
        <v>45838</v>
      </c>
      <c r="G10" s="42">
        <v>0</v>
      </c>
      <c r="H10" s="17">
        <v>39228</v>
      </c>
      <c r="I10" s="11" t="str">
        <f t="shared" ca="1" si="0"/>
        <v>18 años 10 meses</v>
      </c>
      <c r="J10" s="8">
        <f t="shared" ca="1" si="1"/>
        <v>-266</v>
      </c>
      <c r="K10" s="11">
        <f t="shared" ca="1" si="2"/>
        <v>-266</v>
      </c>
      <c r="L10" s="21">
        <f t="shared" ca="1" si="3"/>
        <v>6876</v>
      </c>
      <c r="M10" s="21">
        <f t="shared" ca="1" si="4"/>
        <v>18.838356164383562</v>
      </c>
      <c r="N10" s="21">
        <f t="shared" ca="1" si="5"/>
        <v>18</v>
      </c>
      <c r="O10" s="21">
        <f t="shared" ca="1" si="6"/>
        <v>306</v>
      </c>
      <c r="P10" s="21">
        <f t="shared" ca="1" si="7"/>
        <v>10</v>
      </c>
      <c r="Q10" s="49"/>
    </row>
    <row r="11" spans="1:17" s="21" customFormat="1" x14ac:dyDescent="0.2">
      <c r="A11" s="33">
        <v>9</v>
      </c>
      <c r="B11" s="71" t="s">
        <v>443</v>
      </c>
      <c r="C11" s="11" t="s">
        <v>444</v>
      </c>
      <c r="D11" s="11"/>
      <c r="E11" s="11" t="s">
        <v>27</v>
      </c>
      <c r="F11" s="12">
        <v>45473</v>
      </c>
      <c r="G11" s="42">
        <v>0</v>
      </c>
      <c r="H11" s="17">
        <v>38649</v>
      </c>
      <c r="I11" s="11" t="str">
        <f t="shared" ca="1" si="0"/>
        <v>20 años 5 meses</v>
      </c>
      <c r="J11" s="8">
        <f t="shared" ca="1" si="1"/>
        <v>-631</v>
      </c>
      <c r="K11" s="11">
        <f t="shared" ca="1" si="2"/>
        <v>-631</v>
      </c>
      <c r="L11" s="21">
        <f t="shared" ca="1" si="3"/>
        <v>7455</v>
      </c>
      <c r="M11" s="21">
        <f t="shared" ca="1" si="4"/>
        <v>20.424657534246574</v>
      </c>
      <c r="N11" s="21">
        <f t="shared" ca="1" si="5"/>
        <v>20</v>
      </c>
      <c r="O11" s="21">
        <f t="shared" ca="1" si="6"/>
        <v>155</v>
      </c>
      <c r="P11" s="21">
        <f t="shared" ca="1" si="7"/>
        <v>5</v>
      </c>
      <c r="Q11" s="49"/>
    </row>
    <row r="12" spans="1:17" s="21" customFormat="1" x14ac:dyDescent="0.2">
      <c r="A12" s="33">
        <v>10</v>
      </c>
      <c r="B12" s="71" t="s">
        <v>513</v>
      </c>
      <c r="C12" s="11" t="s">
        <v>512</v>
      </c>
      <c r="D12" s="11"/>
      <c r="E12" s="11" t="s">
        <v>29</v>
      </c>
      <c r="F12" s="12">
        <v>45838</v>
      </c>
      <c r="G12" s="42">
        <v>0</v>
      </c>
      <c r="H12" s="17">
        <v>40349</v>
      </c>
      <c r="I12" s="11" t="str">
        <f t="shared" ca="1" si="0"/>
        <v>15 años 9 meses</v>
      </c>
      <c r="J12" s="8">
        <f t="shared" ca="1" si="1"/>
        <v>-266</v>
      </c>
      <c r="K12" s="11">
        <f t="shared" ca="1" si="2"/>
        <v>-266</v>
      </c>
      <c r="L12" s="21">
        <f t="shared" ca="1" si="3"/>
        <v>5755</v>
      </c>
      <c r="M12" s="21">
        <f t="shared" ca="1" si="4"/>
        <v>15.767123287671232</v>
      </c>
      <c r="N12" s="21">
        <f t="shared" ca="1" si="5"/>
        <v>15</v>
      </c>
      <c r="O12" s="21">
        <f t="shared" ca="1" si="6"/>
        <v>280</v>
      </c>
      <c r="P12" s="21">
        <f t="shared" ca="1" si="7"/>
        <v>9</v>
      </c>
      <c r="Q12" s="49"/>
    </row>
    <row r="13" spans="1:17" s="21" customFormat="1" x14ac:dyDescent="0.2">
      <c r="A13" s="33">
        <v>11</v>
      </c>
      <c r="B13" s="71" t="s">
        <v>232</v>
      </c>
      <c r="C13" s="11" t="s">
        <v>233</v>
      </c>
      <c r="D13" s="11"/>
      <c r="E13" s="11" t="s">
        <v>29</v>
      </c>
      <c r="F13" s="12">
        <v>45838</v>
      </c>
      <c r="G13" s="42">
        <v>0</v>
      </c>
      <c r="H13" s="17">
        <v>39150</v>
      </c>
      <c r="I13" s="11" t="str">
        <f t="shared" ca="1" si="0"/>
        <v>19 años 0 meses</v>
      </c>
      <c r="J13" s="8">
        <f t="shared" ca="1" si="1"/>
        <v>-266</v>
      </c>
      <c r="K13" s="11">
        <f t="shared" ca="1" si="2"/>
        <v>-266</v>
      </c>
      <c r="L13" s="21">
        <f t="shared" ca="1" si="3"/>
        <v>6954</v>
      </c>
      <c r="M13" s="21">
        <f t="shared" ca="1" si="4"/>
        <v>19.052054794520547</v>
      </c>
      <c r="N13" s="21">
        <f t="shared" ca="1" si="5"/>
        <v>19</v>
      </c>
      <c r="O13" s="21">
        <f t="shared" ca="1" si="6"/>
        <v>19</v>
      </c>
      <c r="P13" s="21">
        <f t="shared" ca="1" si="7"/>
        <v>0</v>
      </c>
      <c r="Q13" s="49"/>
    </row>
    <row r="14" spans="1:17" s="21" customFormat="1" x14ac:dyDescent="0.2">
      <c r="A14" s="33">
        <v>12</v>
      </c>
      <c r="B14" s="2" t="s">
        <v>197</v>
      </c>
      <c r="C14" s="11" t="s">
        <v>203</v>
      </c>
      <c r="D14" s="11"/>
      <c r="E14" s="11" t="s">
        <v>29</v>
      </c>
      <c r="F14" s="12">
        <v>45838</v>
      </c>
      <c r="G14" s="42">
        <v>0</v>
      </c>
      <c r="H14" s="17">
        <v>38888</v>
      </c>
      <c r="I14" s="11" t="str">
        <f t="shared" ca="1" si="0"/>
        <v>19 años 9 meses</v>
      </c>
      <c r="J14" s="8">
        <f t="shared" ca="1" si="1"/>
        <v>-266</v>
      </c>
      <c r="K14" s="11">
        <f t="shared" ca="1" si="2"/>
        <v>-266</v>
      </c>
      <c r="L14" s="21">
        <f t="shared" ca="1" si="3"/>
        <v>7216</v>
      </c>
      <c r="M14" s="21">
        <f t="shared" ca="1" si="4"/>
        <v>19.769863013698629</v>
      </c>
      <c r="N14" s="21">
        <f t="shared" ca="1" si="5"/>
        <v>19</v>
      </c>
      <c r="O14" s="21">
        <f t="shared" ca="1" si="6"/>
        <v>281</v>
      </c>
      <c r="P14" s="21">
        <f t="shared" ca="1" si="7"/>
        <v>9</v>
      </c>
      <c r="Q14" s="49"/>
    </row>
    <row r="15" spans="1:17" s="21" customFormat="1" x14ac:dyDescent="0.2">
      <c r="A15" s="33">
        <v>13</v>
      </c>
      <c r="B15" s="71" t="s">
        <v>211</v>
      </c>
      <c r="C15" s="11" t="s">
        <v>212</v>
      </c>
      <c r="D15" s="11"/>
      <c r="E15" s="11" t="s">
        <v>31</v>
      </c>
      <c r="F15" s="12">
        <v>46203</v>
      </c>
      <c r="G15" s="42">
        <v>0</v>
      </c>
      <c r="H15" s="17">
        <v>39714</v>
      </c>
      <c r="I15" s="11" t="str">
        <f t="shared" ca="1" si="0"/>
        <v>17 años 6 meses</v>
      </c>
      <c r="J15" s="8">
        <f t="shared" ca="1" si="1"/>
        <v>99</v>
      </c>
      <c r="K15" s="11">
        <f t="shared" ca="1" si="2"/>
        <v>99</v>
      </c>
      <c r="L15" s="21">
        <f t="shared" ca="1" si="3"/>
        <v>6390</v>
      </c>
      <c r="M15" s="21">
        <f t="shared" ca="1" si="4"/>
        <v>17.506849315068493</v>
      </c>
      <c r="N15" s="21">
        <f t="shared" ca="1" si="5"/>
        <v>17</v>
      </c>
      <c r="O15" s="21">
        <f t="shared" ca="1" si="6"/>
        <v>185</v>
      </c>
      <c r="P15" s="21">
        <f t="shared" ca="1" si="7"/>
        <v>6</v>
      </c>
      <c r="Q15" s="49"/>
    </row>
    <row r="16" spans="1:17" s="21" customFormat="1" x14ac:dyDescent="0.2">
      <c r="A16" s="33">
        <v>14</v>
      </c>
      <c r="B16" s="71" t="s">
        <v>506</v>
      </c>
      <c r="C16" s="11" t="s">
        <v>507</v>
      </c>
      <c r="D16" s="11"/>
      <c r="E16" s="11" t="s">
        <v>29</v>
      </c>
      <c r="F16" s="12">
        <v>45838</v>
      </c>
      <c r="G16" s="42">
        <v>0</v>
      </c>
      <c r="H16" s="17">
        <v>40144</v>
      </c>
      <c r="I16" s="11" t="str">
        <f t="shared" ca="1" si="0"/>
        <v>16 años 4 meses</v>
      </c>
      <c r="J16" s="8">
        <f t="shared" ca="1" si="1"/>
        <v>-266</v>
      </c>
      <c r="K16" s="11">
        <f t="shared" ca="1" si="2"/>
        <v>-266</v>
      </c>
      <c r="L16" s="21">
        <f t="shared" ca="1" si="3"/>
        <v>5960</v>
      </c>
      <c r="M16" s="21">
        <f t="shared" ca="1" si="4"/>
        <v>16.328767123287673</v>
      </c>
      <c r="N16" s="21">
        <f t="shared" ca="1" si="5"/>
        <v>16</v>
      </c>
      <c r="O16" s="21">
        <f t="shared" ca="1" si="6"/>
        <v>120</v>
      </c>
      <c r="P16" s="21">
        <f t="shared" ca="1" si="7"/>
        <v>4</v>
      </c>
      <c r="Q16" s="49"/>
    </row>
    <row r="17" spans="1:17" s="21" customFormat="1" x14ac:dyDescent="0.2">
      <c r="A17" s="33">
        <v>15</v>
      </c>
      <c r="B17" s="71" t="s">
        <v>514</v>
      </c>
      <c r="C17" s="11" t="s">
        <v>515</v>
      </c>
      <c r="D17" s="11"/>
      <c r="E17" s="11" t="s">
        <v>29</v>
      </c>
      <c r="F17" s="12">
        <v>45838</v>
      </c>
      <c r="G17" s="42">
        <v>0</v>
      </c>
      <c r="H17" s="17">
        <v>40488</v>
      </c>
      <c r="I17" s="11" t="str">
        <f t="shared" ca="1" si="0"/>
        <v>15 años 4 meses</v>
      </c>
      <c r="J17" s="8">
        <f t="shared" ca="1" si="1"/>
        <v>-266</v>
      </c>
      <c r="K17" s="11">
        <f t="shared" ca="1" si="2"/>
        <v>-266</v>
      </c>
      <c r="L17" s="21">
        <f t="shared" ca="1" si="3"/>
        <v>5616</v>
      </c>
      <c r="M17" s="21">
        <f t="shared" ca="1" si="4"/>
        <v>15.386301369863014</v>
      </c>
      <c r="N17" s="21">
        <f t="shared" ca="1" si="5"/>
        <v>15</v>
      </c>
      <c r="O17" s="21">
        <f t="shared" ca="1" si="6"/>
        <v>141</v>
      </c>
      <c r="P17" s="21">
        <f t="shared" ca="1" si="7"/>
        <v>4</v>
      </c>
      <c r="Q17" s="49"/>
    </row>
    <row r="18" spans="1:17" s="21" customFormat="1" x14ac:dyDescent="0.2">
      <c r="A18" s="33">
        <v>16</v>
      </c>
      <c r="B18" s="71" t="s">
        <v>537</v>
      </c>
      <c r="C18" s="11" t="s">
        <v>538</v>
      </c>
      <c r="D18" s="11"/>
      <c r="E18" s="11" t="s">
        <v>29</v>
      </c>
      <c r="F18" s="12">
        <v>45838</v>
      </c>
      <c r="G18" s="42">
        <v>0</v>
      </c>
      <c r="H18" s="17">
        <v>39869</v>
      </c>
      <c r="I18" s="11" t="str">
        <f t="shared" ca="1" si="0"/>
        <v>17 años 1 meses</v>
      </c>
      <c r="J18" s="8">
        <f t="shared" ca="1" si="1"/>
        <v>-266</v>
      </c>
      <c r="K18" s="11">
        <f t="shared" ca="1" si="2"/>
        <v>-266</v>
      </c>
      <c r="L18" s="21">
        <f t="shared" ca="1" si="3"/>
        <v>6235</v>
      </c>
      <c r="M18" s="21">
        <f t="shared" ca="1" si="4"/>
        <v>17.082191780821919</v>
      </c>
      <c r="N18" s="21">
        <f t="shared" ca="1" si="5"/>
        <v>17</v>
      </c>
      <c r="O18" s="21">
        <f t="shared" ca="1" si="6"/>
        <v>30</v>
      </c>
      <c r="P18" s="21">
        <f t="shared" ca="1" si="7"/>
        <v>1</v>
      </c>
      <c r="Q18" s="49"/>
    </row>
    <row r="19" spans="1:17" s="21" customFormat="1" x14ac:dyDescent="0.2">
      <c r="A19" s="33">
        <v>17</v>
      </c>
      <c r="B19" s="71" t="s">
        <v>508</v>
      </c>
      <c r="C19" s="11" t="s">
        <v>509</v>
      </c>
      <c r="D19" s="11"/>
      <c r="E19" s="11" t="s">
        <v>29</v>
      </c>
      <c r="F19" s="12">
        <v>45838</v>
      </c>
      <c r="G19" s="42">
        <v>0</v>
      </c>
      <c r="H19" s="17">
        <v>39487</v>
      </c>
      <c r="I19" s="11" t="str">
        <f t="shared" ca="1" si="0"/>
        <v>18 años 1 meses</v>
      </c>
      <c r="J19" s="8">
        <f t="shared" ca="1" si="1"/>
        <v>-266</v>
      </c>
      <c r="K19" s="11">
        <f t="shared" ca="1" si="2"/>
        <v>-266</v>
      </c>
      <c r="L19" s="21">
        <f t="shared" ca="1" si="3"/>
        <v>6617</v>
      </c>
      <c r="M19" s="21">
        <f t="shared" ca="1" si="4"/>
        <v>18.12876712328767</v>
      </c>
      <c r="N19" s="21">
        <f t="shared" ca="1" si="5"/>
        <v>18</v>
      </c>
      <c r="O19" s="21">
        <f t="shared" ca="1" si="6"/>
        <v>47</v>
      </c>
      <c r="P19" s="21">
        <f t="shared" ca="1" si="7"/>
        <v>1</v>
      </c>
      <c r="Q19" s="49"/>
    </row>
    <row r="20" spans="1:17" s="21" customFormat="1" x14ac:dyDescent="0.2">
      <c r="A20" s="33">
        <v>18</v>
      </c>
      <c r="B20" s="71" t="s">
        <v>518</v>
      </c>
      <c r="C20" s="11" t="s">
        <v>519</v>
      </c>
      <c r="D20" s="11"/>
      <c r="E20" s="11" t="s">
        <v>29</v>
      </c>
      <c r="F20" s="12">
        <v>45838</v>
      </c>
      <c r="G20" s="42">
        <v>0</v>
      </c>
      <c r="H20" s="17">
        <v>39513</v>
      </c>
      <c r="I20" s="11" t="str">
        <f t="shared" ca="1" si="0"/>
        <v>18 años 0 meses</v>
      </c>
      <c r="J20" s="8">
        <f t="shared" ca="1" si="1"/>
        <v>-266</v>
      </c>
      <c r="K20" s="11">
        <f t="shared" ca="1" si="2"/>
        <v>-266</v>
      </c>
      <c r="L20" s="21">
        <f t="shared" ca="1" si="3"/>
        <v>6591</v>
      </c>
      <c r="M20" s="21">
        <f t="shared" ca="1" si="4"/>
        <v>18.057534246575344</v>
      </c>
      <c r="N20" s="21">
        <f t="shared" ca="1" si="5"/>
        <v>18</v>
      </c>
      <c r="O20" s="21">
        <f t="shared" ca="1" si="6"/>
        <v>21</v>
      </c>
      <c r="P20" s="21">
        <f t="shared" ca="1" si="7"/>
        <v>0</v>
      </c>
      <c r="Q20" s="49"/>
    </row>
    <row r="21" spans="1:17" s="21" customFormat="1" x14ac:dyDescent="0.2">
      <c r="A21" s="33">
        <v>19</v>
      </c>
      <c r="B21" s="71" t="s">
        <v>437</v>
      </c>
      <c r="C21" s="11" t="s">
        <v>438</v>
      </c>
      <c r="D21" s="11"/>
      <c r="E21" s="11" t="s">
        <v>28</v>
      </c>
      <c r="F21" s="12">
        <v>45657</v>
      </c>
      <c r="G21" s="42">
        <v>0</v>
      </c>
      <c r="H21" s="17">
        <v>38220</v>
      </c>
      <c r="I21" s="11" t="str">
        <f t="shared" ca="1" si="0"/>
        <v>21 años 7 meses</v>
      </c>
      <c r="J21" s="8">
        <f t="shared" ca="1" si="1"/>
        <v>-447</v>
      </c>
      <c r="K21" s="11">
        <f t="shared" ca="1" si="2"/>
        <v>-447</v>
      </c>
      <c r="L21" s="21">
        <f t="shared" ca="1" si="3"/>
        <v>7884</v>
      </c>
      <c r="M21" s="21">
        <f t="shared" ca="1" si="4"/>
        <v>21.6</v>
      </c>
      <c r="N21" s="21">
        <f t="shared" ca="1" si="5"/>
        <v>21</v>
      </c>
      <c r="O21" s="21">
        <f t="shared" ca="1" si="6"/>
        <v>219</v>
      </c>
      <c r="P21" s="21">
        <f t="shared" ca="1" si="7"/>
        <v>7</v>
      </c>
      <c r="Q21" s="49"/>
    </row>
    <row r="22" spans="1:17" s="21" customFormat="1" x14ac:dyDescent="0.2">
      <c r="A22" s="33">
        <v>20</v>
      </c>
      <c r="B22" s="71" t="s">
        <v>196</v>
      </c>
      <c r="C22" s="11" t="s">
        <v>202</v>
      </c>
      <c r="D22" s="11"/>
      <c r="E22" s="11" t="s">
        <v>29</v>
      </c>
      <c r="F22" s="12">
        <v>45838</v>
      </c>
      <c r="G22" s="42">
        <v>0</v>
      </c>
      <c r="H22" s="17">
        <v>38735</v>
      </c>
      <c r="I22" s="11" t="str">
        <f t="shared" ca="1" si="0"/>
        <v>20 años 2 meses</v>
      </c>
      <c r="J22" s="8">
        <f t="shared" ca="1" si="1"/>
        <v>-266</v>
      </c>
      <c r="K22" s="11">
        <f t="shared" ca="1" si="2"/>
        <v>-266</v>
      </c>
      <c r="L22" s="21">
        <f t="shared" ca="1" si="3"/>
        <v>7369</v>
      </c>
      <c r="M22" s="21">
        <f t="shared" ca="1" si="4"/>
        <v>20.18904109589041</v>
      </c>
      <c r="N22" s="21">
        <f t="shared" ca="1" si="5"/>
        <v>20</v>
      </c>
      <c r="O22" s="21">
        <f t="shared" ca="1" si="6"/>
        <v>69</v>
      </c>
      <c r="P22" s="21">
        <f t="shared" ca="1" si="7"/>
        <v>2</v>
      </c>
      <c r="Q22" s="49"/>
    </row>
    <row r="23" spans="1:17" s="21" customFormat="1" x14ac:dyDescent="0.2">
      <c r="A23" s="33">
        <v>21</v>
      </c>
      <c r="B23" s="71" t="s">
        <v>532</v>
      </c>
      <c r="C23" s="11" t="s">
        <v>533</v>
      </c>
      <c r="D23" s="11"/>
      <c r="E23" s="11" t="s">
        <v>29</v>
      </c>
      <c r="F23" s="12">
        <v>45838</v>
      </c>
      <c r="G23" s="42">
        <v>0</v>
      </c>
      <c r="H23" s="17">
        <v>39947</v>
      </c>
      <c r="I23" s="11" t="str">
        <f t="shared" ca="1" si="0"/>
        <v>16 años 10 meses</v>
      </c>
      <c r="J23" s="8">
        <f t="shared" ca="1" si="1"/>
        <v>-266</v>
      </c>
      <c r="K23" s="11">
        <f t="shared" ca="1" si="2"/>
        <v>-266</v>
      </c>
      <c r="L23" s="21">
        <f t="shared" ca="1" si="3"/>
        <v>6157</v>
      </c>
      <c r="M23" s="21">
        <f t="shared" ca="1" si="4"/>
        <v>16.86849315068493</v>
      </c>
      <c r="N23" s="21">
        <f t="shared" ca="1" si="5"/>
        <v>16</v>
      </c>
      <c r="O23" s="21">
        <f t="shared" ca="1" si="6"/>
        <v>317</v>
      </c>
      <c r="P23" s="21">
        <f t="shared" ca="1" si="7"/>
        <v>10</v>
      </c>
      <c r="Q23" s="49"/>
    </row>
    <row r="24" spans="1:17" s="21" customFormat="1" x14ac:dyDescent="0.2">
      <c r="A24" s="33">
        <v>22</v>
      </c>
      <c r="B24" s="71" t="s">
        <v>192</v>
      </c>
      <c r="C24" s="11" t="s">
        <v>193</v>
      </c>
      <c r="D24" s="11"/>
      <c r="E24" s="11" t="s">
        <v>29</v>
      </c>
      <c r="F24" s="12">
        <v>45838</v>
      </c>
      <c r="G24" s="42">
        <v>0</v>
      </c>
      <c r="H24" s="17">
        <v>38501</v>
      </c>
      <c r="I24" s="11" t="str">
        <f t="shared" ca="1" si="0"/>
        <v>20 años 10 meses</v>
      </c>
      <c r="J24" s="8">
        <f t="shared" ca="1" si="1"/>
        <v>-266</v>
      </c>
      <c r="K24" s="11">
        <f t="shared" ca="1" si="2"/>
        <v>-266</v>
      </c>
      <c r="L24" s="21">
        <f t="shared" ca="1" si="3"/>
        <v>7603</v>
      </c>
      <c r="M24" s="21">
        <f t="shared" ca="1" si="4"/>
        <v>20.830136986301369</v>
      </c>
      <c r="N24" s="21">
        <f t="shared" ca="1" si="5"/>
        <v>20</v>
      </c>
      <c r="O24" s="21">
        <f t="shared" ca="1" si="6"/>
        <v>303</v>
      </c>
      <c r="P24" s="21">
        <f t="shared" ca="1" si="7"/>
        <v>10</v>
      </c>
      <c r="Q24" s="49"/>
    </row>
    <row r="25" spans="1:17" s="21" customFormat="1" x14ac:dyDescent="0.2">
      <c r="A25" s="33">
        <v>23</v>
      </c>
      <c r="B25" s="71" t="s">
        <v>510</v>
      </c>
      <c r="C25" s="11" t="s">
        <v>511</v>
      </c>
      <c r="D25" s="11"/>
      <c r="E25" s="11" t="s">
        <v>29</v>
      </c>
      <c r="F25" s="12">
        <v>45838</v>
      </c>
      <c r="G25" s="42">
        <v>0</v>
      </c>
      <c r="H25" s="17">
        <v>39527</v>
      </c>
      <c r="I25" s="11" t="str">
        <f t="shared" ca="1" si="0"/>
        <v>18 años 0 meses</v>
      </c>
      <c r="J25" s="8">
        <f t="shared" ca="1" si="1"/>
        <v>-266</v>
      </c>
      <c r="K25" s="11">
        <f t="shared" ca="1" si="2"/>
        <v>-266</v>
      </c>
      <c r="L25" s="21">
        <f t="shared" ca="1" si="3"/>
        <v>6577</v>
      </c>
      <c r="M25" s="21">
        <f t="shared" ca="1" si="4"/>
        <v>18.019178082191782</v>
      </c>
      <c r="N25" s="21">
        <f t="shared" ca="1" si="5"/>
        <v>18</v>
      </c>
      <c r="O25" s="21">
        <f t="shared" ca="1" si="6"/>
        <v>7</v>
      </c>
      <c r="P25" s="21">
        <f t="shared" ca="1" si="7"/>
        <v>0</v>
      </c>
      <c r="Q25" s="49"/>
    </row>
    <row r="26" spans="1:17" s="21" customFormat="1" x14ac:dyDescent="0.2">
      <c r="A26" s="33">
        <v>24</v>
      </c>
      <c r="B26" s="71" t="s">
        <v>190</v>
      </c>
      <c r="C26" s="11" t="s">
        <v>191</v>
      </c>
      <c r="D26" s="11"/>
      <c r="E26" s="11" t="s">
        <v>28</v>
      </c>
      <c r="F26" s="12">
        <v>45657</v>
      </c>
      <c r="G26" s="42">
        <v>0</v>
      </c>
      <c r="H26" s="17">
        <v>38228</v>
      </c>
      <c r="I26" s="11" t="str">
        <f t="shared" ca="1" si="0"/>
        <v>21 años 7 meses</v>
      </c>
      <c r="J26" s="8">
        <f t="shared" ca="1" si="1"/>
        <v>-447</v>
      </c>
      <c r="K26" s="11">
        <f t="shared" ca="1" si="2"/>
        <v>-447</v>
      </c>
      <c r="L26" s="21">
        <f t="shared" ca="1" si="3"/>
        <v>7876</v>
      </c>
      <c r="M26" s="21">
        <f t="shared" ca="1" si="4"/>
        <v>21.578082191780823</v>
      </c>
      <c r="N26" s="21">
        <f t="shared" ca="1" si="5"/>
        <v>21</v>
      </c>
      <c r="O26" s="21">
        <f t="shared" ca="1" si="6"/>
        <v>211</v>
      </c>
      <c r="P26" s="21">
        <f t="shared" ca="1" si="7"/>
        <v>7</v>
      </c>
      <c r="Q26" s="29"/>
    </row>
    <row r="27" spans="1:17" s="21" customFormat="1" x14ac:dyDescent="0.2">
      <c r="A27" s="33">
        <v>25</v>
      </c>
      <c r="B27" s="71" t="s">
        <v>194</v>
      </c>
      <c r="C27" s="11" t="s">
        <v>195</v>
      </c>
      <c r="D27" s="11"/>
      <c r="E27" s="11" t="s">
        <v>29</v>
      </c>
      <c r="F27" s="12">
        <v>45838</v>
      </c>
      <c r="G27" s="42">
        <v>0</v>
      </c>
      <c r="H27" s="17">
        <v>38676</v>
      </c>
      <c r="I27" s="11" t="str">
        <f t="shared" ca="1" si="0"/>
        <v>20 años 4 meses</v>
      </c>
      <c r="J27" s="8">
        <f t="shared" ca="1" si="1"/>
        <v>-266</v>
      </c>
      <c r="K27" s="11">
        <f t="shared" ca="1" si="2"/>
        <v>-266</v>
      </c>
      <c r="L27" s="21">
        <f t="shared" ca="1" si="3"/>
        <v>7428</v>
      </c>
      <c r="M27" s="21">
        <f t="shared" ca="1" si="4"/>
        <v>20.350684931506848</v>
      </c>
      <c r="N27" s="21">
        <f t="shared" ca="1" si="5"/>
        <v>20</v>
      </c>
      <c r="O27" s="21">
        <f t="shared" ca="1" si="6"/>
        <v>128</v>
      </c>
      <c r="P27" s="21">
        <f t="shared" ca="1" si="7"/>
        <v>4</v>
      </c>
      <c r="Q27" s="49"/>
    </row>
    <row r="28" spans="1:17" s="21" customFormat="1" x14ac:dyDescent="0.2">
      <c r="A28" s="33">
        <v>26</v>
      </c>
      <c r="B28" s="71" t="s">
        <v>534</v>
      </c>
      <c r="C28" s="11" t="s">
        <v>436</v>
      </c>
      <c r="D28" s="11"/>
      <c r="E28" s="11" t="s">
        <v>28</v>
      </c>
      <c r="F28" s="12">
        <v>45657</v>
      </c>
      <c r="G28" s="42">
        <v>0</v>
      </c>
      <c r="H28" s="17">
        <v>38188</v>
      </c>
      <c r="I28" s="11" t="str">
        <f t="shared" ca="1" si="0"/>
        <v>21 años 8 meses</v>
      </c>
      <c r="J28" s="8">
        <f t="shared" ca="1" si="1"/>
        <v>-447</v>
      </c>
      <c r="K28" s="11">
        <f t="shared" ca="1" si="2"/>
        <v>-447</v>
      </c>
      <c r="L28" s="21">
        <f t="shared" ca="1" si="3"/>
        <v>7916</v>
      </c>
      <c r="M28" s="21">
        <f t="shared" ca="1" si="4"/>
        <v>21.687671232876713</v>
      </c>
      <c r="N28" s="21">
        <f t="shared" ca="1" si="5"/>
        <v>21</v>
      </c>
      <c r="O28" s="21">
        <f t="shared" ca="1" si="6"/>
        <v>251</v>
      </c>
      <c r="P28" s="21">
        <f t="shared" ca="1" si="7"/>
        <v>8</v>
      </c>
      <c r="Q28" s="49"/>
    </row>
    <row r="29" spans="1:17" s="21" customFormat="1" x14ac:dyDescent="0.2">
      <c r="A29" s="33">
        <v>27</v>
      </c>
      <c r="B29" s="71" t="s">
        <v>199</v>
      </c>
      <c r="C29" s="11" t="s">
        <v>200</v>
      </c>
      <c r="D29" s="11"/>
      <c r="E29" s="11" t="s">
        <v>29</v>
      </c>
      <c r="F29" s="12">
        <v>45838</v>
      </c>
      <c r="G29" s="42">
        <v>0</v>
      </c>
      <c r="H29" s="17">
        <v>39135</v>
      </c>
      <c r="I29" s="11" t="str">
        <f t="shared" ca="1" si="0"/>
        <v>19 años 1 meses</v>
      </c>
      <c r="J29" s="14">
        <f t="shared" ca="1" si="1"/>
        <v>-266</v>
      </c>
      <c r="K29" s="2">
        <f t="shared" ca="1" si="2"/>
        <v>-266</v>
      </c>
      <c r="L29" s="21">
        <f t="shared" ca="1" si="3"/>
        <v>6969</v>
      </c>
      <c r="M29" s="21">
        <f t="shared" ca="1" si="4"/>
        <v>19.093150684931508</v>
      </c>
      <c r="N29" s="21">
        <f t="shared" ca="1" si="5"/>
        <v>19</v>
      </c>
      <c r="O29" s="21">
        <f t="shared" ca="1" si="6"/>
        <v>34</v>
      </c>
      <c r="P29" s="21">
        <f t="shared" ca="1" si="7"/>
        <v>1</v>
      </c>
      <c r="Q29" s="49"/>
    </row>
    <row r="30" spans="1:17" s="21" customFormat="1" x14ac:dyDescent="0.2">
      <c r="A30" s="33">
        <v>28</v>
      </c>
      <c r="B30" s="71" t="s">
        <v>292</v>
      </c>
      <c r="C30" s="11" t="s">
        <v>293</v>
      </c>
      <c r="D30" s="11"/>
      <c r="E30" s="11" t="s">
        <v>29</v>
      </c>
      <c r="F30" s="12">
        <v>45838</v>
      </c>
      <c r="G30" s="42">
        <v>0</v>
      </c>
      <c r="H30" s="17">
        <v>38435</v>
      </c>
      <c r="I30" s="11" t="str">
        <f t="shared" ca="1" si="0"/>
        <v>21 años 0 meses</v>
      </c>
      <c r="J30" s="8">
        <f t="shared" ca="1" si="1"/>
        <v>-266</v>
      </c>
      <c r="K30" s="11">
        <f t="shared" ca="1" si="2"/>
        <v>-266</v>
      </c>
      <c r="L30" s="21">
        <f t="shared" ca="1" si="3"/>
        <v>7669</v>
      </c>
      <c r="M30" s="21">
        <f t="shared" ca="1" si="4"/>
        <v>21.010958904109589</v>
      </c>
      <c r="N30" s="21">
        <f t="shared" ca="1" si="5"/>
        <v>21</v>
      </c>
      <c r="O30" s="21">
        <f t="shared" ca="1" si="6"/>
        <v>4</v>
      </c>
      <c r="P30" s="21">
        <f t="shared" ca="1" si="7"/>
        <v>0</v>
      </c>
      <c r="Q30" s="49"/>
    </row>
    <row r="31" spans="1:17" s="21" customFormat="1" x14ac:dyDescent="0.2">
      <c r="A31" s="33">
        <v>29</v>
      </c>
      <c r="B31" s="71" t="s">
        <v>198</v>
      </c>
      <c r="C31" s="11" t="s">
        <v>204</v>
      </c>
      <c r="D31" s="11"/>
      <c r="E31" s="11" t="s">
        <v>29</v>
      </c>
      <c r="F31" s="12">
        <v>45838</v>
      </c>
      <c r="G31" s="42">
        <v>0</v>
      </c>
      <c r="H31" s="17">
        <v>39056</v>
      </c>
      <c r="I31" s="11" t="str">
        <f t="shared" ca="1" si="0"/>
        <v>19 años 3 meses</v>
      </c>
      <c r="J31" s="8">
        <f t="shared" ca="1" si="1"/>
        <v>-266</v>
      </c>
      <c r="K31" s="11">
        <f t="shared" ca="1" si="2"/>
        <v>-266</v>
      </c>
      <c r="L31" s="21">
        <f t="shared" ca="1" si="3"/>
        <v>7048</v>
      </c>
      <c r="M31" s="21">
        <f t="shared" ca="1" si="4"/>
        <v>19.30958904109589</v>
      </c>
      <c r="N31" s="21">
        <f t="shared" ca="1" si="5"/>
        <v>19</v>
      </c>
      <c r="O31" s="21">
        <f t="shared" ca="1" si="6"/>
        <v>113</v>
      </c>
      <c r="P31" s="21">
        <f t="shared" ca="1" si="7"/>
        <v>3</v>
      </c>
      <c r="Q31" s="49"/>
    </row>
    <row r="32" spans="1:17" s="21" customFormat="1" x14ac:dyDescent="0.2">
      <c r="A32" s="33">
        <v>30</v>
      </c>
      <c r="B32" s="71" t="s">
        <v>520</v>
      </c>
      <c r="C32" s="11" t="s">
        <v>521</v>
      </c>
      <c r="D32" s="11"/>
      <c r="E32" s="11" t="s">
        <v>29</v>
      </c>
      <c r="F32" s="12">
        <v>45838</v>
      </c>
      <c r="G32" s="42">
        <v>0</v>
      </c>
      <c r="H32" s="17">
        <v>39770</v>
      </c>
      <c r="I32" s="11" t="str">
        <f t="shared" ca="1" si="0"/>
        <v>17 años 4 meses</v>
      </c>
      <c r="J32" s="8">
        <f t="shared" ca="1" si="1"/>
        <v>-266</v>
      </c>
      <c r="K32" s="11">
        <f t="shared" ca="1" si="2"/>
        <v>-266</v>
      </c>
      <c r="L32" s="21">
        <f t="shared" ca="1" si="3"/>
        <v>6334</v>
      </c>
      <c r="M32" s="21">
        <f t="shared" ca="1" si="4"/>
        <v>17.353424657534248</v>
      </c>
      <c r="N32" s="21">
        <f t="shared" ca="1" si="5"/>
        <v>17</v>
      </c>
      <c r="O32" s="21">
        <f t="shared" ca="1" si="6"/>
        <v>129</v>
      </c>
      <c r="P32" s="21">
        <f t="shared" ca="1" si="7"/>
        <v>4</v>
      </c>
      <c r="Q32" s="49"/>
    </row>
    <row r="33" spans="1:17" s="21" customFormat="1" x14ac:dyDescent="0.2">
      <c r="A33" s="33">
        <v>31</v>
      </c>
      <c r="B33" s="71" t="s">
        <v>535</v>
      </c>
      <c r="C33" s="11" t="s">
        <v>536</v>
      </c>
      <c r="D33" s="11"/>
      <c r="E33" s="11" t="s">
        <v>29</v>
      </c>
      <c r="F33" s="12">
        <v>45838</v>
      </c>
      <c r="G33" s="42">
        <v>0</v>
      </c>
      <c r="H33" s="17">
        <v>38962</v>
      </c>
      <c r="I33" s="11" t="str">
        <f t="shared" ca="1" si="0"/>
        <v>19 años 6 meses</v>
      </c>
      <c r="J33" s="8">
        <f t="shared" ca="1" si="1"/>
        <v>-266</v>
      </c>
      <c r="K33" s="11">
        <f t="shared" ca="1" si="2"/>
        <v>-266</v>
      </c>
      <c r="L33" s="21">
        <f t="shared" ca="1" si="3"/>
        <v>7142</v>
      </c>
      <c r="M33" s="21">
        <f t="shared" ca="1" si="4"/>
        <v>19.567123287671233</v>
      </c>
      <c r="N33" s="21">
        <f t="shared" ca="1" si="5"/>
        <v>19</v>
      </c>
      <c r="O33" s="21">
        <f t="shared" ca="1" si="6"/>
        <v>207</v>
      </c>
      <c r="P33" s="21">
        <f t="shared" ca="1" si="7"/>
        <v>6</v>
      </c>
      <c r="Q33" s="49"/>
    </row>
    <row r="34" spans="1:17" s="21" customFormat="1" x14ac:dyDescent="0.2">
      <c r="A34" s="33">
        <v>32</v>
      </c>
      <c r="B34" s="71" t="s">
        <v>516</v>
      </c>
      <c r="C34" s="11" t="s">
        <v>517</v>
      </c>
      <c r="D34" s="11"/>
      <c r="E34" s="11" t="s">
        <v>29</v>
      </c>
      <c r="F34" s="12">
        <v>45838</v>
      </c>
      <c r="G34" s="42">
        <v>0</v>
      </c>
      <c r="H34" s="17">
        <v>38684</v>
      </c>
      <c r="I34" s="11" t="str">
        <f t="shared" ca="1" si="0"/>
        <v>20 años 4 meses</v>
      </c>
      <c r="J34" s="8">
        <f t="shared" ca="1" si="1"/>
        <v>-266</v>
      </c>
      <c r="K34" s="11">
        <f t="shared" ca="1" si="2"/>
        <v>-266</v>
      </c>
      <c r="L34" s="21">
        <f t="shared" ca="1" si="3"/>
        <v>7420</v>
      </c>
      <c r="M34" s="21">
        <f t="shared" ca="1" si="4"/>
        <v>20.328767123287673</v>
      </c>
      <c r="N34" s="21">
        <f t="shared" ca="1" si="5"/>
        <v>20</v>
      </c>
      <c r="O34" s="21">
        <f t="shared" ca="1" si="6"/>
        <v>120</v>
      </c>
      <c r="P34" s="21">
        <f t="shared" ca="1" si="7"/>
        <v>4</v>
      </c>
      <c r="Q34" s="49"/>
    </row>
    <row r="35" spans="1:17" s="21" customFormat="1" x14ac:dyDescent="0.2">
      <c r="A35" s="33">
        <v>33</v>
      </c>
      <c r="B35" s="71" t="s">
        <v>335</v>
      </c>
      <c r="C35" s="11" t="s">
        <v>336</v>
      </c>
      <c r="D35" s="11"/>
      <c r="E35" s="11" t="s">
        <v>27</v>
      </c>
      <c r="F35" s="12">
        <v>45473</v>
      </c>
      <c r="G35" s="42">
        <v>0</v>
      </c>
      <c r="H35" s="17">
        <v>39533</v>
      </c>
      <c r="I35" s="11" t="str">
        <f t="shared" ca="1" si="0"/>
        <v>18 años 0 meses</v>
      </c>
      <c r="J35" s="8">
        <f t="shared" ca="1" si="1"/>
        <v>-631</v>
      </c>
      <c r="K35" s="11">
        <f t="shared" ca="1" si="2"/>
        <v>-631</v>
      </c>
      <c r="L35" s="21">
        <f t="shared" ca="1" si="3"/>
        <v>6571</v>
      </c>
      <c r="M35" s="21">
        <f t="shared" ca="1" si="4"/>
        <v>18.002739726027396</v>
      </c>
      <c r="N35" s="21">
        <f t="shared" ca="1" si="5"/>
        <v>18</v>
      </c>
      <c r="O35" s="21">
        <f t="shared" ca="1" si="6"/>
        <v>1</v>
      </c>
      <c r="P35" s="21">
        <f t="shared" ca="1" si="7"/>
        <v>0</v>
      </c>
      <c r="Q35" s="49"/>
    </row>
    <row r="36" spans="1:17" s="21" customFormat="1" x14ac:dyDescent="0.2">
      <c r="A36" s="33">
        <v>34</v>
      </c>
      <c r="B36" s="71" t="s">
        <v>337</v>
      </c>
      <c r="C36" s="11" t="s">
        <v>338</v>
      </c>
      <c r="D36" s="11"/>
      <c r="E36" s="11" t="s">
        <v>27</v>
      </c>
      <c r="F36" s="12">
        <v>45473</v>
      </c>
      <c r="G36" s="42">
        <v>0</v>
      </c>
      <c r="H36" s="17">
        <v>38659</v>
      </c>
      <c r="I36" s="11" t="str">
        <f t="shared" ca="1" si="0"/>
        <v>20 años 4 meses</v>
      </c>
      <c r="J36" s="8">
        <f t="shared" ca="1" si="1"/>
        <v>-631</v>
      </c>
      <c r="K36" s="11">
        <f t="shared" ca="1" si="2"/>
        <v>-631</v>
      </c>
      <c r="L36" s="21">
        <f t="shared" ca="1" si="3"/>
        <v>7445</v>
      </c>
      <c r="M36" s="21">
        <f t="shared" ca="1" si="4"/>
        <v>20.397260273972602</v>
      </c>
      <c r="N36" s="21">
        <f t="shared" ca="1" si="5"/>
        <v>20</v>
      </c>
      <c r="O36" s="21">
        <f t="shared" ca="1" si="6"/>
        <v>145</v>
      </c>
      <c r="P36" s="21">
        <f t="shared" ca="1" si="7"/>
        <v>4</v>
      </c>
      <c r="Q36" s="49"/>
    </row>
    <row r="37" spans="1:17" s="21" customFormat="1" x14ac:dyDescent="0.2">
      <c r="A37" s="33">
        <v>35</v>
      </c>
      <c r="B37" s="71" t="s">
        <v>213</v>
      </c>
      <c r="C37" s="11" t="s">
        <v>214</v>
      </c>
      <c r="D37" s="11"/>
      <c r="E37" s="11" t="s">
        <v>29</v>
      </c>
      <c r="F37" s="12">
        <v>45838</v>
      </c>
      <c r="G37" s="42">
        <v>0</v>
      </c>
      <c r="H37" s="17">
        <v>38427</v>
      </c>
      <c r="I37" s="11" t="str">
        <f t="shared" ca="1" si="0"/>
        <v>21 años 0 meses</v>
      </c>
      <c r="J37" s="8">
        <f t="shared" ca="1" si="1"/>
        <v>-266</v>
      </c>
      <c r="K37" s="11">
        <f t="shared" ca="1" si="2"/>
        <v>-266</v>
      </c>
      <c r="L37" s="21">
        <f t="shared" ca="1" si="3"/>
        <v>7677</v>
      </c>
      <c r="M37" s="21">
        <f t="shared" ca="1" si="4"/>
        <v>21.032876712328768</v>
      </c>
      <c r="N37" s="21">
        <f t="shared" ca="1" si="5"/>
        <v>21</v>
      </c>
      <c r="O37" s="21">
        <f t="shared" ca="1" si="6"/>
        <v>12</v>
      </c>
      <c r="P37" s="21">
        <f t="shared" ca="1" si="7"/>
        <v>0</v>
      </c>
      <c r="Q37" s="49"/>
    </row>
    <row r="38" spans="1:17" s="21" customFormat="1" x14ac:dyDescent="0.2">
      <c r="A38" s="33">
        <v>36</v>
      </c>
      <c r="B38" s="71" t="s">
        <v>339</v>
      </c>
      <c r="C38" s="11" t="s">
        <v>340</v>
      </c>
      <c r="D38" s="11"/>
      <c r="E38" s="11" t="s">
        <v>27</v>
      </c>
      <c r="F38" s="12">
        <v>45473</v>
      </c>
      <c r="G38" s="42">
        <v>0</v>
      </c>
      <c r="H38" s="17">
        <v>38812</v>
      </c>
      <c r="I38" s="11" t="str">
        <f t="shared" ca="1" si="0"/>
        <v>19 años 11 meses</v>
      </c>
      <c r="J38" s="8">
        <f t="shared" ca="1" si="1"/>
        <v>-631</v>
      </c>
      <c r="K38" s="11">
        <f t="shared" ca="1" si="2"/>
        <v>-631</v>
      </c>
      <c r="L38" s="21">
        <f t="shared" ca="1" si="3"/>
        <v>7292</v>
      </c>
      <c r="M38" s="21">
        <f t="shared" ca="1" si="4"/>
        <v>19.978082191780821</v>
      </c>
      <c r="N38" s="21">
        <f t="shared" ca="1" si="5"/>
        <v>19</v>
      </c>
      <c r="O38" s="21">
        <f t="shared" ca="1" si="6"/>
        <v>357</v>
      </c>
      <c r="P38" s="21">
        <f t="shared" ca="1" si="7"/>
        <v>11</v>
      </c>
      <c r="Q38" s="49"/>
    </row>
    <row r="39" spans="1:17" s="21" customFormat="1" x14ac:dyDescent="0.2">
      <c r="A39" s="33">
        <v>37</v>
      </c>
      <c r="B39" s="71" t="s">
        <v>524</v>
      </c>
      <c r="C39" s="11" t="s">
        <v>525</v>
      </c>
      <c r="D39" s="11"/>
      <c r="E39" s="11" t="s">
        <v>29</v>
      </c>
      <c r="F39" s="12">
        <v>45838</v>
      </c>
      <c r="G39" s="42">
        <v>0</v>
      </c>
      <c r="H39" s="17">
        <v>39960</v>
      </c>
      <c r="I39" s="11" t="str">
        <f t="shared" ca="1" si="0"/>
        <v>16 años 10 meses</v>
      </c>
      <c r="J39" s="8">
        <f t="shared" ca="1" si="1"/>
        <v>-266</v>
      </c>
      <c r="K39" s="11">
        <f t="shared" ca="1" si="2"/>
        <v>-266</v>
      </c>
      <c r="L39" s="21">
        <f t="shared" ca="1" si="3"/>
        <v>6144</v>
      </c>
      <c r="M39" s="21">
        <f t="shared" ca="1" si="4"/>
        <v>16.832876712328765</v>
      </c>
      <c r="N39" s="21">
        <f t="shared" ca="1" si="5"/>
        <v>16</v>
      </c>
      <c r="O39" s="21">
        <f t="shared" ca="1" si="6"/>
        <v>304</v>
      </c>
      <c r="P39" s="21">
        <f t="shared" ca="1" si="7"/>
        <v>10</v>
      </c>
      <c r="Q39" s="49"/>
    </row>
    <row r="40" spans="1:17" s="21" customFormat="1" x14ac:dyDescent="0.2">
      <c r="A40" s="33">
        <v>38</v>
      </c>
      <c r="B40" s="71" t="s">
        <v>341</v>
      </c>
      <c r="C40" s="11" t="s">
        <v>342</v>
      </c>
      <c r="D40" s="11"/>
      <c r="E40" s="11" t="s">
        <v>29</v>
      </c>
      <c r="F40" s="12">
        <v>45838</v>
      </c>
      <c r="G40" s="42">
        <v>0</v>
      </c>
      <c r="H40" s="17">
        <v>38563</v>
      </c>
      <c r="I40" s="11" t="str">
        <f t="shared" ca="1" si="0"/>
        <v>20 años 8 meses</v>
      </c>
      <c r="J40" s="8">
        <f t="shared" ca="1" si="1"/>
        <v>-266</v>
      </c>
      <c r="K40" s="11">
        <f t="shared" ca="1" si="2"/>
        <v>-266</v>
      </c>
      <c r="L40" s="21">
        <f t="shared" ca="1" si="3"/>
        <v>7541</v>
      </c>
      <c r="M40" s="21">
        <f t="shared" ca="1" si="4"/>
        <v>20.660273972602738</v>
      </c>
      <c r="N40" s="21">
        <f t="shared" ca="1" si="5"/>
        <v>20</v>
      </c>
      <c r="O40" s="21">
        <f t="shared" ca="1" si="6"/>
        <v>241</v>
      </c>
      <c r="P40" s="21">
        <f t="shared" ca="1" si="7"/>
        <v>8</v>
      </c>
      <c r="Q40" s="49"/>
    </row>
    <row r="41" spans="1:17" s="21" customFormat="1" x14ac:dyDescent="0.2">
      <c r="A41" s="33">
        <v>39</v>
      </c>
      <c r="B41" s="71" t="s">
        <v>441</v>
      </c>
      <c r="C41" s="11" t="s">
        <v>442</v>
      </c>
      <c r="D41" s="11"/>
      <c r="E41" s="11" t="s">
        <v>27</v>
      </c>
      <c r="F41" s="12">
        <v>45473</v>
      </c>
      <c r="G41" s="42">
        <v>0</v>
      </c>
      <c r="H41" s="17">
        <v>38269</v>
      </c>
      <c r="I41" s="11" t="str">
        <f t="shared" ca="1" si="0"/>
        <v>21 años 5 meses</v>
      </c>
      <c r="J41" s="8">
        <f t="shared" ca="1" si="1"/>
        <v>-631</v>
      </c>
      <c r="K41" s="11">
        <f t="shared" ca="1" si="2"/>
        <v>-631</v>
      </c>
      <c r="L41" s="21">
        <f t="shared" ca="1" si="3"/>
        <v>7835</v>
      </c>
      <c r="M41" s="21">
        <f t="shared" ca="1" si="4"/>
        <v>21.465753424657535</v>
      </c>
      <c r="N41" s="21">
        <f t="shared" ca="1" si="5"/>
        <v>21</v>
      </c>
      <c r="O41" s="21">
        <f t="shared" ca="1" si="6"/>
        <v>170</v>
      </c>
      <c r="P41" s="21">
        <f t="shared" ca="1" si="7"/>
        <v>5</v>
      </c>
      <c r="Q41" s="49"/>
    </row>
    <row r="42" spans="1:17" s="21" customFormat="1" x14ac:dyDescent="0.2">
      <c r="A42" s="33">
        <v>40</v>
      </c>
      <c r="B42" s="71" t="s">
        <v>522</v>
      </c>
      <c r="C42" s="11" t="s">
        <v>523</v>
      </c>
      <c r="D42" s="11"/>
      <c r="E42" s="11" t="s">
        <v>29</v>
      </c>
      <c r="F42" s="12">
        <v>45838</v>
      </c>
      <c r="G42" s="42">
        <v>0</v>
      </c>
      <c r="H42" s="17">
        <v>39428</v>
      </c>
      <c r="I42" s="11" t="str">
        <f t="shared" ca="1" si="0"/>
        <v>18 años 3 meses</v>
      </c>
      <c r="J42" s="8">
        <f t="shared" ca="1" si="1"/>
        <v>-266</v>
      </c>
      <c r="K42" s="11">
        <f t="shared" ca="1" si="2"/>
        <v>-266</v>
      </c>
      <c r="L42" s="21">
        <f t="shared" ca="1" si="3"/>
        <v>6676</v>
      </c>
      <c r="M42" s="21">
        <f t="shared" ca="1" si="4"/>
        <v>18.290410958904111</v>
      </c>
      <c r="N42" s="21">
        <f t="shared" ca="1" si="5"/>
        <v>18</v>
      </c>
      <c r="O42" s="21">
        <f t="shared" ca="1" si="6"/>
        <v>106</v>
      </c>
      <c r="P42" s="21">
        <f t="shared" ca="1" si="7"/>
        <v>3</v>
      </c>
      <c r="Q42" s="49"/>
    </row>
    <row r="43" spans="1:17" s="21" customFormat="1" x14ac:dyDescent="0.2">
      <c r="A43" s="33">
        <v>41</v>
      </c>
      <c r="B43" s="71" t="s">
        <v>439</v>
      </c>
      <c r="C43" s="11" t="s">
        <v>440</v>
      </c>
      <c r="D43" s="11"/>
      <c r="E43" s="11" t="s">
        <v>29</v>
      </c>
      <c r="F43" s="12">
        <v>45838</v>
      </c>
      <c r="G43" s="42">
        <v>0</v>
      </c>
      <c r="H43" s="17">
        <v>39525</v>
      </c>
      <c r="I43" s="11" t="str">
        <f t="shared" ca="1" si="0"/>
        <v>18 años 0 meses</v>
      </c>
      <c r="J43" s="8">
        <f t="shared" ca="1" si="1"/>
        <v>-266</v>
      </c>
      <c r="K43" s="11">
        <f t="shared" ca="1" si="2"/>
        <v>-266</v>
      </c>
      <c r="L43" s="21">
        <f t="shared" ca="1" si="3"/>
        <v>6579</v>
      </c>
      <c r="M43" s="21">
        <f t="shared" ca="1" si="4"/>
        <v>18.024657534246575</v>
      </c>
      <c r="N43" s="21">
        <f t="shared" ca="1" si="5"/>
        <v>18</v>
      </c>
      <c r="O43" s="21">
        <f t="shared" ca="1" si="6"/>
        <v>9</v>
      </c>
      <c r="P43" s="21">
        <f t="shared" ca="1" si="7"/>
        <v>0</v>
      </c>
      <c r="Q43" s="49"/>
    </row>
    <row r="44" spans="1:17" ht="15" x14ac:dyDescent="0.2">
      <c r="A44"/>
      <c r="F44"/>
      <c r="J44"/>
      <c r="L44" s="15"/>
    </row>
    <row r="45" spans="1:17" ht="15" x14ac:dyDescent="0.2">
      <c r="A45"/>
      <c r="F45"/>
      <c r="J45"/>
      <c r="L45" s="15"/>
    </row>
    <row r="46" spans="1:17" ht="15" x14ac:dyDescent="0.2">
      <c r="A46"/>
      <c r="F46"/>
      <c r="J46"/>
      <c r="L46" s="15"/>
    </row>
    <row r="47" spans="1:17" ht="15" x14ac:dyDescent="0.2">
      <c r="A47"/>
      <c r="F47"/>
      <c r="J47"/>
      <c r="L47" s="15"/>
    </row>
    <row r="48" spans="1:17" ht="15" x14ac:dyDescent="0.2">
      <c r="A48"/>
      <c r="F48"/>
      <c r="J48"/>
      <c r="L48" s="15"/>
    </row>
  </sheetData>
  <sheetProtection algorithmName="SHA-512" hashValue="D9OMhmR4Dw7TmzCb3uOIn/c+ZlBRGqhoPd+Zcgwx/IVECZrgkcSkCg2RbU4QjE/9jIt0KvSk/3YStXH+7bfNBQ==" saltValue="OmoF6OjrP44/LAIt54ixBw==" spinCount="100000" sheet="1" sort="0" autoFilter="0"/>
  <sortState xmlns:xlrd2="http://schemas.microsoft.com/office/spreadsheetml/2017/richdata2" ref="B4:K38">
    <sortCondition ref="B4:B38"/>
  </sortState>
  <mergeCells count="1">
    <mergeCell ref="A1:J1"/>
  </mergeCells>
  <conditionalFormatting sqref="E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43">
    <cfRule type="containsText" dxfId="0" priority="1" operator="containsText" text="Clausura 2018">
      <formula>NOT(ISERROR(SEARCH("Clausura 2018",F3)))</formula>
    </cfRule>
  </conditionalFormatting>
  <conditionalFormatting sqref="G2:I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10">
    <cfRule type="iconSet" priority="4">
      <iconSet iconSet="3Symbols" showValue="0">
        <cfvo type="percent" val="0"/>
        <cfvo type="num" val="365"/>
        <cfvo type="num" val="547"/>
      </iconSet>
    </cfRule>
  </conditionalFormatting>
  <conditionalFormatting sqref="J11:J12">
    <cfRule type="iconSet" priority="767">
      <iconSet iconSet="3Symbols" showValue="0">
        <cfvo type="percent" val="0"/>
        <cfvo type="num" val="365"/>
        <cfvo type="num" val="547"/>
      </iconSet>
    </cfRule>
  </conditionalFormatting>
  <conditionalFormatting sqref="J14 J24:J25">
    <cfRule type="iconSet" priority="908">
      <iconSet iconSet="3Symbols" showValue="0">
        <cfvo type="percent" val="0"/>
        <cfvo type="num" val="365"/>
        <cfvo type="num" val="547"/>
      </iconSet>
    </cfRule>
  </conditionalFormatting>
  <conditionalFormatting sqref="J22:J23 J27:J43">
    <cfRule type="iconSet" priority="911">
      <iconSet iconSet="3Symbols" showValue="0">
        <cfvo type="percent" val="0"/>
        <cfvo type="num" val="365"/>
        <cfvo type="num" val="547"/>
      </iconSet>
    </cfRule>
  </conditionalFormatting>
  <conditionalFormatting sqref="J26 J13 J3:J5 J15:J21">
    <cfRule type="iconSet" priority="566">
      <iconSet iconSet="3Symbols" showValue="0">
        <cfvo type="percent" val="0"/>
        <cfvo type="num" val="365"/>
        <cfvo type="num" val="547"/>
      </iconSet>
    </cfRule>
  </conditionalFormatting>
  <conditionalFormatting sqref="K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C55"/>
  <sheetViews>
    <sheetView workbookViewId="0">
      <selection activeCell="F31" sqref="F31"/>
    </sheetView>
  </sheetViews>
  <sheetFormatPr baseColWidth="10" defaultRowHeight="15" x14ac:dyDescent="0.2"/>
  <cols>
    <col min="1" max="1" width="13.33203125" bestFit="1" customWidth="1"/>
  </cols>
  <sheetData>
    <row r="1" spans="1:3" x14ac:dyDescent="0.2">
      <c r="A1" s="5" t="s">
        <v>14</v>
      </c>
      <c r="B1" s="5" t="s">
        <v>15</v>
      </c>
      <c r="C1" s="5" t="s">
        <v>16</v>
      </c>
    </row>
    <row r="2" spans="1:3" x14ac:dyDescent="0.2">
      <c r="A2" s="1" t="s">
        <v>8</v>
      </c>
      <c r="B2" s="4">
        <v>42370</v>
      </c>
      <c r="C2" s="4">
        <v>42551</v>
      </c>
    </row>
    <row r="3" spans="1:3" x14ac:dyDescent="0.2">
      <c r="A3" s="1" t="s">
        <v>13</v>
      </c>
      <c r="B3" s="4">
        <v>42552</v>
      </c>
      <c r="C3" s="4">
        <v>42735</v>
      </c>
    </row>
    <row r="4" spans="1:3" x14ac:dyDescent="0.2">
      <c r="A4" s="1" t="s">
        <v>3</v>
      </c>
      <c r="B4" s="4">
        <v>42736</v>
      </c>
      <c r="C4" s="4">
        <v>42916</v>
      </c>
    </row>
    <row r="5" spans="1:3" x14ac:dyDescent="0.2">
      <c r="A5" s="1" t="s">
        <v>2</v>
      </c>
      <c r="B5" s="4">
        <v>42917</v>
      </c>
      <c r="C5" s="4">
        <v>43100</v>
      </c>
    </row>
    <row r="6" spans="1:3" x14ac:dyDescent="0.2">
      <c r="A6" s="1" t="s">
        <v>1</v>
      </c>
      <c r="B6" s="4">
        <v>43101</v>
      </c>
      <c r="C6" s="4">
        <v>43281</v>
      </c>
    </row>
    <row r="7" spans="1:3" x14ac:dyDescent="0.2">
      <c r="A7" s="1" t="s">
        <v>0</v>
      </c>
      <c r="B7" s="4">
        <v>43282</v>
      </c>
      <c r="C7" s="4">
        <v>43465</v>
      </c>
    </row>
    <row r="8" spans="1:3" x14ac:dyDescent="0.2">
      <c r="A8" s="1" t="s">
        <v>4</v>
      </c>
      <c r="B8" s="4">
        <v>43466</v>
      </c>
      <c r="C8" s="4">
        <v>43646</v>
      </c>
    </row>
    <row r="9" spans="1:3" x14ac:dyDescent="0.2">
      <c r="A9" s="1" t="s">
        <v>6</v>
      </c>
      <c r="B9" s="4">
        <v>43647</v>
      </c>
      <c r="C9" s="4">
        <v>43830</v>
      </c>
    </row>
    <row r="10" spans="1:3" x14ac:dyDescent="0.2">
      <c r="A10" s="1" t="s">
        <v>5</v>
      </c>
      <c r="B10" s="4">
        <v>43831</v>
      </c>
      <c r="C10" s="4">
        <v>44012</v>
      </c>
    </row>
    <row r="11" spans="1:3" x14ac:dyDescent="0.2">
      <c r="A11" s="1" t="s">
        <v>7</v>
      </c>
      <c r="B11" s="4">
        <v>44013</v>
      </c>
      <c r="C11" s="4">
        <v>44196</v>
      </c>
    </row>
    <row r="12" spans="1:3" x14ac:dyDescent="0.2">
      <c r="A12" s="1" t="s">
        <v>20</v>
      </c>
      <c r="B12" s="4">
        <v>44197</v>
      </c>
      <c r="C12" s="4">
        <v>44377</v>
      </c>
    </row>
    <row r="13" spans="1:3" x14ac:dyDescent="0.2">
      <c r="A13" s="1" t="s">
        <v>19</v>
      </c>
      <c r="B13" s="4">
        <v>44378</v>
      </c>
      <c r="C13" s="4">
        <v>44561</v>
      </c>
    </row>
    <row r="14" spans="1:3" x14ac:dyDescent="0.2">
      <c r="A14" s="1" t="s">
        <v>21</v>
      </c>
      <c r="B14" s="4">
        <v>44562</v>
      </c>
      <c r="C14" s="4">
        <v>44742</v>
      </c>
    </row>
    <row r="15" spans="1:3" x14ac:dyDescent="0.2">
      <c r="A15" s="1" t="s">
        <v>22</v>
      </c>
      <c r="B15" s="4">
        <v>44743</v>
      </c>
      <c r="C15" s="4">
        <v>44926</v>
      </c>
    </row>
    <row r="16" spans="1:3" x14ac:dyDescent="0.2">
      <c r="A16" s="1" t="s">
        <v>25</v>
      </c>
      <c r="B16" s="4">
        <v>44927</v>
      </c>
      <c r="C16" s="4">
        <v>45107</v>
      </c>
    </row>
    <row r="17" spans="1:3" x14ac:dyDescent="0.2">
      <c r="A17" s="1" t="s">
        <v>26</v>
      </c>
      <c r="B17" s="4">
        <v>45108</v>
      </c>
      <c r="C17" s="4">
        <v>45291</v>
      </c>
    </row>
    <row r="18" spans="1:3" x14ac:dyDescent="0.2">
      <c r="A18" s="1" t="s">
        <v>27</v>
      </c>
      <c r="B18" s="4">
        <v>45292</v>
      </c>
      <c r="C18" s="4">
        <v>45473</v>
      </c>
    </row>
    <row r="19" spans="1:3" x14ac:dyDescent="0.2">
      <c r="A19" s="1" t="s">
        <v>28</v>
      </c>
      <c r="B19" s="4">
        <v>45474</v>
      </c>
      <c r="C19" s="4">
        <v>45657</v>
      </c>
    </row>
    <row r="20" spans="1:3" x14ac:dyDescent="0.2">
      <c r="A20" s="1" t="s">
        <v>29</v>
      </c>
      <c r="B20" s="4">
        <v>45658</v>
      </c>
      <c r="C20" s="4">
        <v>45838</v>
      </c>
    </row>
    <row r="21" spans="1:3" x14ac:dyDescent="0.2">
      <c r="A21" s="1" t="s">
        <v>30</v>
      </c>
      <c r="B21" s="4">
        <v>45839</v>
      </c>
      <c r="C21" s="4">
        <v>46022</v>
      </c>
    </row>
    <row r="22" spans="1:3" x14ac:dyDescent="0.2">
      <c r="A22" s="1" t="s">
        <v>31</v>
      </c>
      <c r="B22" s="4">
        <v>46023</v>
      </c>
      <c r="C22" s="4">
        <v>46203</v>
      </c>
    </row>
    <row r="23" spans="1:3" x14ac:dyDescent="0.2">
      <c r="A23" s="1" t="s">
        <v>32</v>
      </c>
      <c r="B23" s="4">
        <v>46204</v>
      </c>
      <c r="C23" s="4">
        <v>46387</v>
      </c>
    </row>
    <row r="24" spans="1:3" x14ac:dyDescent="0.2">
      <c r="A24" s="1" t="s">
        <v>33</v>
      </c>
      <c r="B24" s="4">
        <v>46388</v>
      </c>
      <c r="C24" s="4">
        <v>46568</v>
      </c>
    </row>
    <row r="25" spans="1:3" x14ac:dyDescent="0.2">
      <c r="A25" s="1" t="s">
        <v>34</v>
      </c>
      <c r="B25" s="4">
        <v>46569</v>
      </c>
      <c r="C25" s="4">
        <v>46752</v>
      </c>
    </row>
    <row r="26" spans="1:3" x14ac:dyDescent="0.2">
      <c r="A26" s="1" t="s">
        <v>35</v>
      </c>
      <c r="B26" s="4">
        <v>46753</v>
      </c>
      <c r="C26" s="4">
        <v>46934</v>
      </c>
    </row>
    <row r="27" spans="1:3" x14ac:dyDescent="0.2">
      <c r="A27" s="1" t="s">
        <v>36</v>
      </c>
      <c r="B27" s="4">
        <v>46935</v>
      </c>
      <c r="C27" s="4">
        <v>47118</v>
      </c>
    </row>
    <row r="28" spans="1:3" x14ac:dyDescent="0.2">
      <c r="A28" s="1" t="s">
        <v>37</v>
      </c>
      <c r="B28" s="4">
        <v>47119</v>
      </c>
      <c r="C28" s="4">
        <v>47299</v>
      </c>
    </row>
    <row r="29" spans="1:3" x14ac:dyDescent="0.2">
      <c r="A29" s="1" t="s">
        <v>38</v>
      </c>
      <c r="B29" s="4">
        <v>47300</v>
      </c>
      <c r="C29" s="4">
        <v>47483</v>
      </c>
    </row>
    <row r="30" spans="1:3" x14ac:dyDescent="0.2">
      <c r="A30" s="1" t="s">
        <v>39</v>
      </c>
      <c r="B30" s="4">
        <v>47484</v>
      </c>
      <c r="C30" s="4">
        <v>47664</v>
      </c>
    </row>
    <row r="31" spans="1:3" x14ac:dyDescent="0.2">
      <c r="A31" s="1" t="s">
        <v>40</v>
      </c>
      <c r="B31" s="4">
        <v>47665</v>
      </c>
      <c r="C31" s="4">
        <v>47848</v>
      </c>
    </row>
    <row r="32" spans="1:3" x14ac:dyDescent="0.2">
      <c r="A32" s="1" t="s">
        <v>41</v>
      </c>
      <c r="B32" s="4">
        <v>47849</v>
      </c>
      <c r="C32" s="4">
        <v>48029</v>
      </c>
    </row>
    <row r="33" spans="1:3" x14ac:dyDescent="0.2">
      <c r="A33" s="1" t="s">
        <v>42</v>
      </c>
      <c r="B33" s="4">
        <v>48030</v>
      </c>
      <c r="C33" s="4">
        <v>48213</v>
      </c>
    </row>
    <row r="34" spans="1:3" x14ac:dyDescent="0.2">
      <c r="A34" s="1" t="s">
        <v>43</v>
      </c>
      <c r="B34" s="4">
        <v>48214</v>
      </c>
      <c r="C34" s="4">
        <v>48395</v>
      </c>
    </row>
    <row r="35" spans="1:3" x14ac:dyDescent="0.2">
      <c r="A35" s="1" t="s">
        <v>44</v>
      </c>
      <c r="B35" s="4">
        <v>48396</v>
      </c>
      <c r="C35" s="4">
        <v>48579</v>
      </c>
    </row>
    <row r="36" spans="1:3" x14ac:dyDescent="0.2">
      <c r="A36" s="1" t="s">
        <v>45</v>
      </c>
      <c r="B36" s="4">
        <v>48580</v>
      </c>
      <c r="C36" s="4">
        <v>48760</v>
      </c>
    </row>
    <row r="37" spans="1:3" x14ac:dyDescent="0.2">
      <c r="A37" s="1" t="s">
        <v>46</v>
      </c>
      <c r="B37" s="4">
        <v>48761</v>
      </c>
      <c r="C37" s="4">
        <v>48944</v>
      </c>
    </row>
    <row r="38" spans="1:3" x14ac:dyDescent="0.2">
      <c r="A38" s="1" t="s">
        <v>47</v>
      </c>
      <c r="B38" s="4">
        <v>48945</v>
      </c>
      <c r="C38" s="4">
        <v>49125</v>
      </c>
    </row>
    <row r="39" spans="1:3" x14ac:dyDescent="0.2">
      <c r="A39" s="1" t="s">
        <v>48</v>
      </c>
      <c r="B39" s="4">
        <v>49126</v>
      </c>
      <c r="C39" s="4">
        <v>49309</v>
      </c>
    </row>
    <row r="40" spans="1:3" x14ac:dyDescent="0.2">
      <c r="A40" s="1" t="s">
        <v>49</v>
      </c>
      <c r="B40" s="4">
        <v>49310</v>
      </c>
      <c r="C40" s="4">
        <v>49490</v>
      </c>
    </row>
    <row r="41" spans="1:3" x14ac:dyDescent="0.2">
      <c r="A41" s="1" t="s">
        <v>50</v>
      </c>
      <c r="B41" s="4">
        <v>49491</v>
      </c>
      <c r="C41" s="4">
        <v>49674</v>
      </c>
    </row>
    <row r="42" spans="1:3" x14ac:dyDescent="0.2">
      <c r="A42" s="1" t="s">
        <v>51</v>
      </c>
      <c r="B42" s="4">
        <v>49675</v>
      </c>
      <c r="C42" s="4">
        <v>49856</v>
      </c>
    </row>
    <row r="43" spans="1:3" x14ac:dyDescent="0.2">
      <c r="A43" s="1" t="s">
        <v>52</v>
      </c>
      <c r="B43" s="4">
        <v>49857</v>
      </c>
      <c r="C43" s="4">
        <v>50040</v>
      </c>
    </row>
    <row r="44" spans="1:3" x14ac:dyDescent="0.2">
      <c r="A44" s="1" t="s">
        <v>53</v>
      </c>
      <c r="B44" s="4">
        <v>50041</v>
      </c>
      <c r="C44" s="4">
        <v>50221</v>
      </c>
    </row>
    <row r="45" spans="1:3" x14ac:dyDescent="0.2">
      <c r="A45" s="1" t="s">
        <v>54</v>
      </c>
      <c r="B45" s="4">
        <v>50222</v>
      </c>
      <c r="C45" s="4">
        <v>50405</v>
      </c>
    </row>
    <row r="46" spans="1:3" x14ac:dyDescent="0.2">
      <c r="A46" s="1" t="s">
        <v>55</v>
      </c>
      <c r="B46" s="4">
        <v>50406</v>
      </c>
      <c r="C46" s="4">
        <v>50586</v>
      </c>
    </row>
    <row r="47" spans="1:3" x14ac:dyDescent="0.2">
      <c r="A47" s="1" t="s">
        <v>56</v>
      </c>
      <c r="B47" s="4">
        <v>50587</v>
      </c>
      <c r="C47" s="4">
        <v>50770</v>
      </c>
    </row>
    <row r="48" spans="1:3" x14ac:dyDescent="0.2">
      <c r="A48" s="1" t="s">
        <v>57</v>
      </c>
      <c r="B48" s="4">
        <v>50771</v>
      </c>
      <c r="C48" s="4">
        <v>50951</v>
      </c>
    </row>
    <row r="49" spans="1:3" x14ac:dyDescent="0.2">
      <c r="A49" s="1" t="s">
        <v>58</v>
      </c>
      <c r="B49" s="4">
        <v>50952</v>
      </c>
      <c r="C49" s="4">
        <v>51135</v>
      </c>
    </row>
    <row r="50" spans="1:3" x14ac:dyDescent="0.2">
      <c r="A50" s="1" t="s">
        <v>59</v>
      </c>
      <c r="B50" s="4">
        <v>51136</v>
      </c>
      <c r="C50" s="4">
        <v>51317</v>
      </c>
    </row>
    <row r="51" spans="1:3" x14ac:dyDescent="0.2">
      <c r="A51" s="1" t="s">
        <v>60</v>
      </c>
      <c r="B51" s="4">
        <v>51318</v>
      </c>
      <c r="C51" s="4">
        <v>51501</v>
      </c>
    </row>
    <row r="52" spans="1:3" x14ac:dyDescent="0.2">
      <c r="A52" s="1" t="s">
        <v>61</v>
      </c>
      <c r="B52" s="4">
        <v>51502</v>
      </c>
      <c r="C52" s="4">
        <v>51682</v>
      </c>
    </row>
    <row r="53" spans="1:3" x14ac:dyDescent="0.2">
      <c r="A53" s="1" t="s">
        <v>62</v>
      </c>
      <c r="B53" s="4">
        <v>51683</v>
      </c>
      <c r="C53" s="4">
        <v>51866</v>
      </c>
    </row>
    <row r="54" spans="1:3" x14ac:dyDescent="0.2">
      <c r="A54" s="1" t="s">
        <v>63</v>
      </c>
      <c r="B54" s="4">
        <v>51867</v>
      </c>
      <c r="C54" s="4">
        <v>52047</v>
      </c>
    </row>
    <row r="55" spans="1:3" x14ac:dyDescent="0.2">
      <c r="A55" s="1" t="s">
        <v>64</v>
      </c>
      <c r="B55" s="4">
        <v>52048</v>
      </c>
      <c r="C55" s="4">
        <v>52231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PD</vt:lpstr>
      <vt:lpstr>Préstamo Expansión</vt:lpstr>
      <vt:lpstr>Sub23</vt:lpstr>
      <vt:lpstr>Sub18</vt:lpstr>
      <vt:lpstr>Sub16</vt:lpstr>
      <vt:lpstr>Sub14</vt:lpstr>
      <vt:lpstr>Femenil</vt:lpstr>
      <vt:lpstr>Fem Sub 19</vt:lpstr>
      <vt:lpstr>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Diaz Flores Gurza</dc:creator>
  <cp:lastModifiedBy>Fernanda Delmar</cp:lastModifiedBy>
  <cp:lastPrinted>2016-06-16T23:05:28Z</cp:lastPrinted>
  <dcterms:created xsi:type="dcterms:W3CDTF">2016-06-16T22:23:51Z</dcterms:created>
  <dcterms:modified xsi:type="dcterms:W3CDTF">2026-03-24T03:51:21Z</dcterms:modified>
</cp:coreProperties>
</file>