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luisespejo/Desktop/"/>
    </mc:Choice>
  </mc:AlternateContent>
  <xr:revisionPtr revIDLastSave="0" documentId="8_{A52346F7-4EE6-6C4E-9A70-6FB84807978A}" xr6:coauthVersionLast="47" xr6:coauthVersionMax="47" xr10:uidLastSave="{00000000-0000-0000-0000-000000000000}"/>
  <bookViews>
    <workbookView xWindow="0" yWindow="680" windowWidth="29340" windowHeight="18580" tabRatio="500" xr2:uid="{00000000-000D-0000-FFFF-FFFF00000000}"/>
  </bookViews>
  <sheets>
    <sheet name="Dashboard" sheetId="1" r:id="rId1"/>
    <sheet name="Ranking" sheetId="2" r:id="rId2"/>
    <sheet name="TM vs Modelo" sheetId="3" r:id="rId3"/>
    <sheet name="Riesgo Contrato" sheetId="4" r:id="rId4"/>
    <sheet name="Algoritmo v3" sheetId="5" r:id="rId5"/>
    <sheet name="Perf por Posición" sheetId="6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<sst xmlns="http://schemas.openxmlformats.org/spreadsheetml/2006/main" count="474" uniqueCount="259">
  <si>
    <t>LIGA MX PLAYER VALUATION SYSTEM — Atlas FC, Clausura 2026</t>
  </si>
  <si>
    <t>Modelo LMXPVS v3.0  |  Datos reales integrados  |  Calibrado con Transfermarkt 2023-2026</t>
  </si>
  <si>
    <t>JUGADORES</t>
  </si>
  <si>
    <t>SCORE PROMEDIO</t>
  </si>
  <si>
    <t>VALOR TOTAL PLANTEL</t>
  </si>
  <si>
    <t>MAYOR VALOR</t>
  </si>
  <si>
    <t>RIESGO CONTRACTUAL</t>
  </si>
  <si>
    <t>20</t>
  </si>
  <si>
    <t>55 / 100</t>
  </si>
  <si>
    <t>$22.7M USD</t>
  </si>
  <si>
    <t>Schlegel  $2.80M</t>
  </si>
  <si>
    <t>1 JUGADOR (Zaldívar)</t>
  </si>
  <si>
    <t>Jugador</t>
  </si>
  <si>
    <t>Edad</t>
  </si>
  <si>
    <t>Posición</t>
  </si>
  <si>
    <t>Perf Score</t>
  </si>
  <si>
    <t>Score v3</t>
  </si>
  <si>
    <t>TM (€)</t>
  </si>
  <si>
    <t>Valor USD</t>
  </si>
  <si>
    <t>Tier</t>
  </si>
  <si>
    <t>Contrato</t>
  </si>
  <si>
    <t>Análisis clave</t>
  </si>
  <si>
    <t>Capasso</t>
  </si>
  <si>
    <t>Defensa Central</t>
  </si>
  <si>
    <t>€600K</t>
  </si>
  <si>
    <t>$1.10M</t>
  </si>
  <si>
    <t>Titular A</t>
  </si>
  <si>
    <t>Dic 28</t>
  </si>
  <si>
    <t>181 pases prog. Sólido en duelos. TM subestima.</t>
  </si>
  <si>
    <t>Rocha</t>
  </si>
  <si>
    <t>Contención</t>
  </si>
  <si>
    <t>€800K</t>
  </si>
  <si>
    <t>$850K</t>
  </si>
  <si>
    <t>Titular B</t>
  </si>
  <si>
    <t>—</t>
  </si>
  <si>
    <t>Stats elite (88% pase) pero edad 33 limita reventa.</t>
  </si>
  <si>
    <t>Vargas</t>
  </si>
  <si>
    <t>Portero</t>
  </si>
  <si>
    <t>€500K</t>
  </si>
  <si>
    <t>$2.05M</t>
  </si>
  <si>
    <t>Dic 27</t>
  </si>
  <si>
    <t>MUNDIAL COL. Bonus +16 pts. MVP Liga MX.</t>
  </si>
  <si>
    <t>Gaddi Aguirre</t>
  </si>
  <si>
    <t>€900K</t>
  </si>
  <si>
    <t>$780K</t>
  </si>
  <si>
    <t>Buen rendimiento. Sin contrato = leverage cero.</t>
  </si>
  <si>
    <t>Schlegel</t>
  </si>
  <si>
    <t>€2,500K</t>
  </si>
  <si>
    <t>$2.80M</t>
  </si>
  <si>
    <t>Mejor DC en stats: 89.7% pase, 160 pases prog.</t>
  </si>
  <si>
    <t>Ferrareis</t>
  </si>
  <si>
    <t>Lateral Derecho</t>
  </si>
  <si>
    <t>€1,200K</t>
  </si>
  <si>
    <t>$1.35M</t>
  </si>
  <si>
    <t>Jun 27</t>
  </si>
  <si>
    <t>21 regates, 9 tiros. Lateral más ofensivo.</t>
  </si>
  <si>
    <t>A. González</t>
  </si>
  <si>
    <t>Volante</t>
  </si>
  <si>
    <t>€2,200K</t>
  </si>
  <si>
    <t>$870K</t>
  </si>
  <si>
    <t>4 goles, xA 0.96. Sin contrato registrado.</t>
  </si>
  <si>
    <t>D. González</t>
  </si>
  <si>
    <t>Extremo</t>
  </si>
  <si>
    <t>€4,000K</t>
  </si>
  <si>
    <t>$2.65M</t>
  </si>
  <si>
    <t>xT 4.24, xA 1.98, 6 goles. SIN CONTRATO (RIESGO).</t>
  </si>
  <si>
    <t>S. Hernández</t>
  </si>
  <si>
    <t>€200K</t>
  </si>
  <si>
    <t>$960K</t>
  </si>
  <si>
    <t>58 regates para un 6. 21 años. TM a 200K = ineficiencia.</t>
  </si>
  <si>
    <t>E. Aguirre</t>
  </si>
  <si>
    <t>Delantero</t>
  </si>
  <si>
    <t>$2.10M</t>
  </si>
  <si>
    <t>Jun 29</t>
  </si>
  <si>
    <t>Contrato Jun 29 = mejor leverage. xA 0.87.</t>
  </si>
  <si>
    <t>P. Ramírez</t>
  </si>
  <si>
    <t>Volante/DC</t>
  </si>
  <si>
    <t>€100K</t>
  </si>
  <si>
    <t>$950K</t>
  </si>
  <si>
    <t>Polivalente joven. TM 100K es ineficiencia clara.</t>
  </si>
  <si>
    <t>V. Ríos</t>
  </si>
  <si>
    <t>€2,000K</t>
  </si>
  <si>
    <t>$1.65M</t>
  </si>
  <si>
    <t>89.5% precisión de pase a los 22. Alto potencial.</t>
  </si>
  <si>
    <t>J. Rodríguez</t>
  </si>
  <si>
    <t>Defensa</t>
  </si>
  <si>
    <t>$820K</t>
  </si>
  <si>
    <t>Joven con margen de mejora. Sin contrato definido.</t>
  </si>
  <si>
    <t>Zaldívar</t>
  </si>
  <si>
    <t>$430K</t>
  </si>
  <si>
    <t>Rotación</t>
  </si>
  <si>
    <t>Jun 26</t>
  </si>
  <si>
    <t>⚠ RIESGO: contrato vence Jun 2026.</t>
  </si>
  <si>
    <t>M. García</t>
  </si>
  <si>
    <t>$1.05M</t>
  </si>
  <si>
    <t>89% precisión pase como extremo. Pocos minutos (452).</t>
  </si>
  <si>
    <t>A. Rodríguez</t>
  </si>
  <si>
    <t>€1,500K</t>
  </si>
  <si>
    <t>$1.45M</t>
  </si>
  <si>
    <t>xG alto en 304 min. Contrato Dic 28. Eficiencia alta.</t>
  </si>
  <si>
    <t>Gamboa</t>
  </si>
  <si>
    <t>$680K</t>
  </si>
  <si>
    <t>JOYA: Mundial Sub-17, debut Liga MX a los 17 años.</t>
  </si>
  <si>
    <t>A. Sánchez</t>
  </si>
  <si>
    <t>€400K</t>
  </si>
  <si>
    <t>Solo 100 min. Proyecto de largo plazo. Contrato Jun 29.</t>
  </si>
  <si>
    <t>Del Prete</t>
  </si>
  <si>
    <t>50 min: performance incalculable. ARG + contrato Jun 29.</t>
  </si>
  <si>
    <t>A. Mora</t>
  </si>
  <si>
    <t>28 minutos. Score basado en perfil únicamente.</t>
  </si>
  <si>
    <t>Tiers: Titular A (Score 62-71)  |  Titular B (52-61)  |  Rotación (42-51)  |  ★ = Bonus contexto activo  |  ⚠ = Riesgo contractual  |  Fuente: stats reales Clausura 2026</t>
  </si>
  <si>
    <t>Ranking por Score v3 — Liga MX Player Valuation System</t>
  </si>
  <si>
    <t>#</t>
  </si>
  <si>
    <t>Vargas ★ COL</t>
  </si>
  <si>
    <t>D. González ⚠</t>
  </si>
  <si>
    <t>Gamboa ◆ JOYA</t>
  </si>
  <si>
    <t>Zaldívar ⚠</t>
  </si>
  <si>
    <t>Transfermarkt vs Modelo — Análisis de ineficiencias de mercado</t>
  </si>
  <si>
    <t>TM Value (USD)</t>
  </si>
  <si>
    <t>Modelo (USD)</t>
  </si>
  <si>
    <t>Diferencia / Señal</t>
  </si>
  <si>
    <t>Valores alineados</t>
  </si>
  <si>
    <t>Modelo +280% sobre TM — POSIBLE SUBVALORACIÓN</t>
  </si>
  <si>
    <t>TM +63% sobre modelo — POSIBLE SOBREVALORACIÓN</t>
  </si>
  <si>
    <t>TM +39% sobre modelo — POSIBLE SOBREVALORACIÓN</t>
  </si>
  <si>
    <t>Modelo +344% sobre TM — POSIBLE SUBVALORACIÓN</t>
  </si>
  <si>
    <t>Modelo +780% sobre TM — POSIBLE SUBVALORACIÓN</t>
  </si>
  <si>
    <t>TM +24% sobre modelo — POSIBLE SOBREVALORACIÓN</t>
  </si>
  <si>
    <t>TM +50% sobre modelo — POSIBLE SOBREVALORACIÓN</t>
  </si>
  <si>
    <t>N/A</t>
  </si>
  <si>
    <t>TM +33% sobre modelo — POSIBLE SOBREVALORACIÓN</t>
  </si>
  <si>
    <t>Mapa de riesgo contractual — Valor en riesgo por vencimiento</t>
  </si>
  <si>
    <t>Vencimiento</t>
  </si>
  <si>
    <t>Nivel riesgo</t>
  </si>
  <si>
    <t>Acción recomendada</t>
  </si>
  <si>
    <t>Jun 2026</t>
  </si>
  <si>
    <t>CRÍTICO</t>
  </si>
  <si>
    <t>Renovar URGENTE o buscar comprador antes de abril</t>
  </si>
  <si>
    <t>Sin dato</t>
  </si>
  <si>
    <t>ALTO</t>
  </si>
  <si>
    <t>Verificar contrato. Riesgo de salida en libertad.</t>
  </si>
  <si>
    <t>Confirmar fecha de vencimiento con dirección deportiva</t>
  </si>
  <si>
    <t>MEDIO</t>
  </si>
  <si>
    <t>Capitán. Gestionar extensión o plan de sucesión</t>
  </si>
  <si>
    <t>Talento joven en valor. Asegurar contrato largo</t>
  </si>
  <si>
    <t>Verificar y extender. Perfil joven exportable</t>
  </si>
  <si>
    <t>Sin datos TM. Revisar internamente</t>
  </si>
  <si>
    <t>Mayor valor del plantel sin contrato conocido</t>
  </si>
  <si>
    <t>Jun 2027</t>
  </si>
  <si>
    <t>BAJO</t>
  </si>
  <si>
    <t>Monitorear en 2026. Puede buscar club si no renueva</t>
  </si>
  <si>
    <t>Contrato hasta Jun 27. Evaluar extensión en 2026</t>
  </si>
  <si>
    <t>Dic 2027</t>
  </si>
  <si>
    <t>PROTEGIDO</t>
  </si>
  <si>
    <t>Contrato hasta 2027+. Sin acción inmediata necesaria</t>
  </si>
  <si>
    <t>Jun 2029</t>
  </si>
  <si>
    <t>Mejor leverage del plantel. Activo seguro.</t>
  </si>
  <si>
    <t>Contrato largo. Club tiene total control.</t>
  </si>
  <si>
    <t>Asegurado hasta 2029. Joven con upside.</t>
  </si>
  <si>
    <t>Dic 2028</t>
  </si>
  <si>
    <t>Contrato Dic 28. Buena posición del club.</t>
  </si>
  <si>
    <t>Contrato largo. Sin acción requerida.</t>
  </si>
  <si>
    <t>Contrato largo como portero de proyecto.</t>
  </si>
  <si>
    <t>Contrato asegurado. Necesita minutos.</t>
  </si>
  <si>
    <t>28 minutos. Evaluar continuidad.</t>
  </si>
  <si>
    <t>ATENCIÓN</t>
  </si>
  <si>
    <t>Joya de 17 años. Asegurar contrato profesional urgente.</t>
  </si>
  <si>
    <t>Algoritmo LMXPVS v3.0 — Referencia técnica del modelo</t>
  </si>
  <si>
    <t>Componente</t>
  </si>
  <si>
    <t>Fórmula / Input</t>
  </si>
  <si>
    <t>Peso</t>
  </si>
  <si>
    <t>Descripción</t>
  </si>
  <si>
    <t>PASO 1 — Componentes del Score Base</t>
  </si>
  <si>
    <t>Performance Score</t>
  </si>
  <si>
    <t>calcular_performance(pos, stats)</t>
  </si>
  <si>
    <t>28%</t>
  </si>
  <si>
    <t>Calculado desde xG, pases progresivos, xT, regates, minutos. Varía por posición.</t>
  </si>
  <si>
    <t>Edad / Curva</t>
  </si>
  <si>
    <t>100 - max(0,(edad-pico)^2 × k)</t>
  </si>
  <si>
    <t>18%</t>
  </si>
  <si>
    <t>Función cuadrática. Pico: 29 porteros, 26 defensas/MC, 25 delanteros/extremos.</t>
  </si>
  <si>
    <t>Calidad histórica</t>
  </si>
  <si>
    <t>Cualitativo + internacionalidad</t>
  </si>
  <si>
    <t>15%</t>
  </si>
  <si>
    <t>Track record de clubes, selección activa, nivel de competencia previa.</t>
  </si>
  <si>
    <t>Contrato restante</t>
  </si>
  <si>
    <t>Años restantes → contractS [0-90]</t>
  </si>
  <si>
    <t>14%</t>
  </si>
  <si>
    <t>Leverage del club. 4+años=máximo. Libre=mínimo.</t>
  </si>
  <si>
    <t>Potencial</t>
  </si>
  <si>
    <t>Solo activo si edad &lt; 24</t>
  </si>
  <si>
    <t>10%</t>
  </si>
  <si>
    <t>Proyección de curva de desarrollo. Para mayores se redistribuye a perfS y qualS.</t>
  </si>
  <si>
    <t>Tabla de demanda de mercado</t>
  </si>
  <si>
    <t>Delanteros: prima alta. Porteros: descuento estructural.</t>
  </si>
  <si>
    <t>Momentum</t>
  </si>
  <si>
    <t>Tendencia reciente, lesiones</t>
  </si>
  <si>
    <t>5%</t>
  </si>
  <si>
    <t>Ajuste fino. Único componente sin input cuantitativo directo.</t>
  </si>
  <si>
    <t>PASO 2 — Ajustes multiplicativos</t>
  </si>
  <si>
    <t>nat_multiplier</t>
  </si>
  <si>
    <t>ARG/COL Mundial: ×1.10</t>
  </si>
  <si>
    <t>COL/ARG estándar ×1.07  |  MEX intl ×0.95  |  MEX local ×0.87</t>
  </si>
  <si>
    <t>contract_leverage</t>
  </si>
  <si>
    <t>4+años: ×1.05  /  &lt;1año: ×0.80</t>
  </si>
  <si>
    <t>Libre: ×0.60  |  Sin fecha conocida: penalización implícita</t>
  </si>
  <si>
    <t>Score_adj</t>
  </si>
  <si>
    <t>Score_raw × nat_mult × cont_lev</t>
  </si>
  <si>
    <t>Resultado antes de aplicar bonus de contexto</t>
  </si>
  <si>
    <t>PASO 3 — Bonus de contexto (aditivos, techo = 100 pts)</t>
  </si>
  <si>
    <t>Titular Copa del Mundo activa</t>
  </si>
  <si>
    <t>+12 pts</t>
  </si>
  <si>
    <t>CONTEXTO</t>
  </si>
  <si>
    <t>Visibilidad máxima. Eleva demanda y precio inmediatamente.</t>
  </si>
  <si>
    <t>Promesa mundialista Sub-17/20</t>
  </si>
  <si>
    <t>+8 pts</t>
  </si>
  <si>
    <t>Talento validado nivel FIFA. Prima europea por perfil.</t>
  </si>
  <si>
    <t>Debut en 1er equipo menor de edad</t>
  </si>
  <si>
    <t>+5 pts</t>
  </si>
  <si>
    <t>Acorta timeline. Combinable con bonus mundialista.</t>
  </si>
  <si>
    <t>Contrato confirmado hasta 2027+</t>
  </si>
  <si>
    <t>+4 pts</t>
  </si>
  <si>
    <t>Leverage máximo del club vendedor.</t>
  </si>
  <si>
    <t>Contrato vence en 2026</t>
  </si>
  <si>
    <t>-6 pts</t>
  </si>
  <si>
    <t>RIESGO</t>
  </si>
  <si>
    <t>Ya en pre-negociación libre. Comprador puede esperar.</t>
  </si>
  <si>
    <t>Contrato desconocido</t>
  </si>
  <si>
    <t>-2 pts</t>
  </si>
  <si>
    <t>Incertidumbre reduce leverage del club.</t>
  </si>
  <si>
    <t>PASO 4 — Conversión a USD</t>
  </si>
  <si>
    <t>Base_USD</t>
  </si>
  <si>
    <t>TM_EUR × 1.08 × 0.85</t>
  </si>
  <si>
    <t>Factor 0.85 = Liga MX cotiza ~15% bajo vs benchmark TM global</t>
  </si>
  <si>
    <t>Exponente</t>
  </si>
  <si>
    <t>1.6 campo  |  1.4 porteros</t>
  </si>
  <si>
    <t>No linealidad: jugadores top se separan exponencialmente.</t>
  </si>
  <si>
    <t>Valor_USD</t>
  </si>
  <si>
    <t>Base × (Score / 50) ^ exp</t>
  </si>
  <si>
    <t>Score=50 → Valor=Base. Score=70 → Base×1.78. Score=35 → Base×0.55</t>
  </si>
  <si>
    <t>Fórmulas de Performance Score por posición — LMXPVS v3.0</t>
  </si>
  <si>
    <t>Fórmula</t>
  </si>
  <si>
    <t>Variables clave</t>
  </si>
  <si>
    <t>norm(min,0,1208)×0.40 + norm(pass%,60,90)×0.35 + norm(xp_pass,60,90)×0.25</t>
  </si>
  <si>
    <t>Minutos, precisión pases, expected passing accuracy</t>
  </si>
  <si>
    <t>norm(pass_ok,0,500)×0.35 + norm(prog_pass,0,200)×0.30 + norm(min,0,1308)×0.20 + norm(blk,0,15)×0.15</t>
  </si>
  <si>
    <t>Pases completados, pases progresivos, minutos, bloqueos</t>
  </si>
  <si>
    <t>Lateral</t>
  </si>
  <si>
    <t>norm(pass_ok,0,400)×0.30 + norm(xT,0,4)×0.25 + norm(drib,0,25)×0.25 + norm(cross,0,50)×0.20</t>
  </si>
  <si>
    <t>xT amenaza, centros, regates, pases</t>
  </si>
  <si>
    <t>norm(pass_ok,0,500)×0.30 + norm(min,0,1308)×0.25 + norm(pass%,70,92)×0.25 + norm(duels,0,500)×0.20</t>
  </si>
  <si>
    <t>Pases ok, minutos, precisión, duelos ganados</t>
  </si>
  <si>
    <t>norm(pass_ok,0,450)×0.30 + norm(xA,0,1.5)×0.30 + norm(min,0,1100)×0.20 + norm(drib,0,25)×0.20</t>
  </si>
  <si>
    <t>xA asistencias esperadas, pases, minutos, regates</t>
  </si>
  <si>
    <t>norm(xT,0,5)×0.35 + norm(drib%,20,80)×0.25 + norm(cross,0,60)×0.20 + norm(min,0,1000)×0.20</t>
  </si>
  <si>
    <t>xT amenaza, % regates exitosos, centros, minutos</t>
  </si>
  <si>
    <t>norm(xG,0,3)×0.40 + norm(goles,0,8)×0.30 + norm(tiros_prt,0,10)×0.20 + norm(xA,0,1.5)×0.10</t>
  </si>
  <si>
    <t>xG goles esperados, goles, tiros al arco, xA</t>
  </si>
  <si>
    <t>Función norm(x, min, max) = CLAMP((x − min) / (max − min) × 100,  0, 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</si>
</sst>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0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</font>
    <font>
      <i/>
      <sz val="10"/>
      <color rgb="FF9DC3E6"/>
      <name val="Calibri"/>
      <family val="2"/>
    </font>
    <font>
      <sz val="8"/>
      <color rgb="FFD6E4F0"/>
      <name val="Calibri"/>
      <family val="2"/>
    </font>
    <font>
      <b/>
      <sz val="14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595959"/>
      <name val="Calibri"/>
      <family val="2"/>
    </font>
    <font>
      <b/>
      <sz val="10"/>
      <color rgb="FF2E75B6"/>
      <name val="Calibri"/>
      <family val="2"/>
    </font>
    <font>
      <b/>
      <sz val="9"/>
      <color rgb="FF2E75B6"/>
      <name val="Calibri"/>
      <family val="2"/>
    </font>
    <font>
      <b/>
      <sz val="10"/>
      <color rgb="FF00695C"/>
      <name val="Calibri"/>
      <family val="2"/>
    </font>
    <font>
      <b/>
      <sz val="9"/>
      <color rgb="FF00695C"/>
      <name val="Calibri"/>
      <family val="2"/>
    </font>
    <font>
      <b/>
      <sz val="9"/>
      <color rgb="FFC00000"/>
      <name val="Calibri"/>
      <family val="2"/>
    </font>
    <font>
      <b/>
      <sz val="10"/>
      <color rgb="FFC55A11"/>
      <name val="Calibri"/>
      <family val="2"/>
    </font>
    <font>
      <b/>
      <sz val="9"/>
      <color rgb="FFC55A11"/>
      <name val="Calibri"/>
      <family val="2"/>
    </font>
    <font>
      <b/>
      <sz val="9"/>
      <color rgb="FF6A1B9A"/>
      <name val="Calibri"/>
      <family val="2"/>
    </font>
    <font>
      <i/>
      <sz val="8"/>
      <color rgb="FF595959"/>
      <name val="Calibri"/>
      <family val="2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4E79"/>
      <name val="Calibri"/>
      <family val="2"/>
    </font>
    <font>
      <sz val="10"/>
      <color rgb="FF595959"/>
      <name val="Calibri"/>
      <family val="2"/>
    </font>
    <font>
      <b/>
      <sz val="12"/>
      <color rgb="FF2E75B6"/>
      <name val="Calibri"/>
      <family val="2"/>
    </font>
    <font>
      <b/>
      <sz val="10"/>
      <color rgb="FF375623"/>
      <name val="Calibri"/>
      <family val="2"/>
    </font>
    <font>
      <b/>
      <sz val="10"/>
      <color rgb="FF000000"/>
      <name val="Calibri"/>
      <family val="2"/>
    </font>
    <font>
      <b/>
      <sz val="10"/>
      <color rgb="FFA6A6A6"/>
      <name val="Calibri"/>
      <family val="2"/>
    </font>
    <font>
      <b/>
      <sz val="10"/>
      <color rgb="FFC00000"/>
      <name val="Calibri"/>
      <family val="2"/>
    </font>
    <font>
      <b/>
      <sz val="12"/>
      <color rgb="FF00695C"/>
      <name val="Calibri"/>
      <family val="2"/>
    </font>
    <font>
      <b/>
      <sz val="10"/>
      <color rgb="FF6A1B9A"/>
      <name val="Calibri"/>
      <family val="2"/>
    </font>
    <font>
      <b/>
      <sz val="12"/>
      <color rgb="FFC55A11"/>
      <name val="Calibri"/>
      <family val="2"/>
    </font>
    <font>
      <b/>
      <sz val="15"/>
      <color rgb="FFFFFFFF"/>
      <name val="Calibri"/>
      <family val="2"/>
    </font>
    <font>
      <i/>
      <sz val="9"/>
      <color rgb="FF00695C"/>
      <name val="Calibri"/>
      <family val="2"/>
    </font>
    <font>
      <i/>
      <sz val="9"/>
      <color rgb="FF375623"/>
      <name val="Calibri"/>
      <family val="2"/>
    </font>
    <font>
      <i/>
      <sz val="9"/>
      <color rgb="FFC00000"/>
      <name val="Calibri"/>
      <family val="2"/>
    </font>
    <font>
      <i/>
      <sz val="9"/>
      <color rgb="FFA6A6A6"/>
      <name val="Calibri"/>
      <family val="2"/>
    </font>
    <font>
      <b/>
      <sz val="9"/>
      <color rgb="FF1F4E79"/>
      <name val="Calibri"/>
      <family val="2"/>
    </font>
    <font>
      <i/>
      <sz val="9"/>
      <color rgb="FF595959"/>
      <name val="Calibri"/>
      <family val="2"/>
    </font>
    <font>
      <i/>
      <sz val="9"/>
      <color rgb="FFC55A11"/>
      <name val="Calibri"/>
      <family val="2"/>
    </font>
    <font>
      <b/>
      <sz val="9"/>
      <color rgb="FF795600"/>
      <name val="Calibri"/>
      <family val="2"/>
    </font>
    <font>
      <sz val="9"/>
      <color rgb="FF375623"/>
      <name val="Calibri"/>
      <family val="2"/>
    </font>
    <font>
      <b/>
      <sz val="9"/>
      <color rgb="FF375623"/>
      <name val="Calibri"/>
      <family val="2"/>
    </font>
    <font>
      <b/>
      <sz val="11"/>
      <color rgb="FFFFFFFF"/>
      <name val="Calibri"/>
      <family val="2"/>
    </font>
    <font>
      <sz val="9"/>
      <color rgb="FF2E75B6"/>
      <name val="Courier New"/>
      <family val="1"/>
    </font>
    <font>
      <sz val="9"/>
      <color rgb="FF375623"/>
      <name val="Courier New"/>
      <family val="1"/>
    </font>
    <font>
      <sz val="9"/>
      <color rgb="FF00695C"/>
      <name val="Courier New"/>
      <family val="1"/>
    </font>
    <font>
      <sz val="9"/>
      <color rgb="FFC55A11"/>
      <name val="Courier New"/>
      <family val="1"/>
    </font>
    <font>
      <sz val="9"/>
      <color rgb="FF6A1B9A"/>
      <name val="Courier New"/>
      <family val="1"/>
    </font>
    <font>
      <sz val="9"/>
      <color rgb="FF1F4E79"/>
      <name val="Courier New"/>
      <family val="1"/>
    </font>
    <font>
      <sz val="9"/>
      <color rgb="FFC00000"/>
      <name val="Courier New"/>
      <family val="1"/>
    </font>
    <font>
      <b/>
      <sz val="10"/>
      <color rgb="FF00695C"/>
      <name val="Courier New"/>
      <family val="1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00695C"/>
        <bgColor rgb="FF008080"/>
      </patternFill>
    </fill>
    <fill>
      <patternFill patternType="solid">
        <fgColor rgb="FFC55A11"/>
        <bgColor rgb="FFCD7F32"/>
      </patternFill>
    </fill>
    <fill>
      <patternFill patternType="solid">
        <fgColor rgb="FF375623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EBF3FB"/>
        <bgColor rgb="FFE3F2FD"/>
      </patternFill>
    </fill>
    <fill>
      <patternFill patternType="solid">
        <fgColor rgb="FFD6E4F0"/>
        <bgColor rgb="FFDDDDDD"/>
      </patternFill>
    </fill>
    <fill>
      <patternFill patternType="solid">
        <fgColor rgb="FFFFFFFF"/>
        <bgColor rgb="FFF2F2F2"/>
      </patternFill>
    </fill>
    <fill>
      <patternFill patternType="solid">
        <fgColor rgb="FFE0F2F1"/>
        <bgColor rgb="FFE3F2FD"/>
      </patternFill>
    </fill>
    <fill>
      <patternFill patternType="solid">
        <fgColor rgb="FFE3F2FD"/>
        <bgColor rgb="FFE0F2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7F6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FFD700"/>
        <bgColor rgb="FFFF9900"/>
      </patternFill>
    </fill>
    <fill>
      <patternFill patternType="solid">
        <fgColor rgb="FFC0C0C0"/>
        <bgColor rgb="FFAAAAAA"/>
      </patternFill>
    </fill>
    <fill>
      <patternFill patternType="solid">
        <fgColor rgb="FFCD7F32"/>
        <bgColor rgb="FFC55A11"/>
      </patternFill>
    </fill>
    <fill>
      <patternFill patternType="solid">
        <fgColor rgb="FFE2EFDA"/>
        <bgColor rgb="FFE0F2F1"/>
      </patternFill>
    </fill>
    <fill>
      <patternFill patternType="solid">
        <fgColor rgb="FF6A1B9A"/>
        <bgColor rgb="FF800080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41" fillId="5" borderId="0" xfId="0" applyFont="1" applyFill="1" applyAlignment="1">
      <alignment horizontal="left" vertical="center"/>
    </xf>
    <xf numFmtId="0" fontId="41" fillId="6" borderId="0" xfId="0" applyFont="1" applyFill="1" applyAlignment="1">
      <alignment horizontal="left" vertical="center"/>
    </xf>
    <xf numFmtId="0" fontId="41" fillId="3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5" fillId="2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right" vertical="center"/>
    </xf>
    <xf numFmtId="0" fontId="10" fillId="9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7" fillId="10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right" vertical="center"/>
    </xf>
    <xf numFmtId="0" fontId="12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left" vertical="center"/>
    </xf>
    <xf numFmtId="0" fontId="13" fillId="13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left" vertical="center"/>
    </xf>
    <xf numFmtId="0" fontId="0" fillId="16" borderId="0" xfId="0" applyFill="1"/>
    <xf numFmtId="0" fontId="19" fillId="2" borderId="1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center" vertical="center"/>
    </xf>
    <xf numFmtId="0" fontId="11" fillId="8" borderId="2" xfId="0" applyFont="1" applyFill="1" applyBorder="1"/>
    <xf numFmtId="0" fontId="21" fillId="8" borderId="2" xfId="0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right" vertical="center"/>
    </xf>
    <xf numFmtId="0" fontId="20" fillId="18" borderId="2" xfId="0" applyFont="1" applyFill="1" applyBorder="1" applyAlignment="1">
      <alignment horizontal="center" vertical="center"/>
    </xf>
    <xf numFmtId="0" fontId="24" fillId="10" borderId="2" xfId="0" applyFont="1" applyFill="1" applyBorder="1"/>
    <xf numFmtId="0" fontId="21" fillId="10" borderId="2" xfId="0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horizontal="right" vertical="center"/>
    </xf>
    <xf numFmtId="0" fontId="20" fillId="19" borderId="2" xfId="0" applyFont="1" applyFill="1" applyBorder="1" applyAlignment="1">
      <alignment horizontal="center" vertical="center"/>
    </xf>
    <xf numFmtId="0" fontId="24" fillId="8" borderId="2" xfId="0" applyFont="1" applyFill="1" applyBorder="1"/>
    <xf numFmtId="0" fontId="25" fillId="10" borderId="2" xfId="0" applyFont="1" applyFill="1" applyBorder="1" applyAlignment="1">
      <alignment horizontal="center" vertical="center"/>
    </xf>
    <xf numFmtId="0" fontId="26" fillId="10" borderId="2" xfId="0" applyFont="1" applyFill="1" applyBorder="1"/>
    <xf numFmtId="0" fontId="25" fillId="8" borderId="2" xfId="0" applyFont="1" applyFill="1" applyBorder="1" applyAlignment="1">
      <alignment horizontal="center" vertical="center"/>
    </xf>
    <xf numFmtId="0" fontId="27" fillId="11" borderId="2" xfId="0" applyFont="1" applyFill="1" applyBorder="1" applyAlignment="1">
      <alignment horizontal="center" vertical="center"/>
    </xf>
    <xf numFmtId="0" fontId="28" fillId="8" borderId="2" xfId="0" applyFont="1" applyFill="1" applyBorder="1"/>
    <xf numFmtId="0" fontId="29" fillId="14" borderId="2" xfId="0" applyFont="1" applyFill="1" applyBorder="1" applyAlignment="1">
      <alignment horizontal="center" vertical="center"/>
    </xf>
    <xf numFmtId="164" fontId="7" fillId="8" borderId="2" xfId="0" applyNumberFormat="1" applyFont="1" applyFill="1" applyBorder="1" applyAlignment="1">
      <alignment horizontal="right" vertical="center"/>
    </xf>
    <xf numFmtId="0" fontId="31" fillId="8" borderId="2" xfId="0" applyFont="1" applyFill="1" applyBorder="1" applyAlignment="1">
      <alignment horizontal="left" vertical="center"/>
    </xf>
    <xf numFmtId="164" fontId="7" fillId="10" borderId="2" xfId="0" applyNumberFormat="1" applyFont="1" applyFill="1" applyBorder="1" applyAlignment="1">
      <alignment horizontal="right" vertical="center"/>
    </xf>
    <xf numFmtId="0" fontId="31" fillId="10" borderId="2" xfId="0" applyFont="1" applyFill="1" applyBorder="1" applyAlignment="1">
      <alignment horizontal="left" vertical="center"/>
    </xf>
    <xf numFmtId="0" fontId="32" fillId="20" borderId="2" xfId="0" applyFont="1" applyFill="1" applyBorder="1" applyAlignment="1">
      <alignment horizontal="left" vertical="center"/>
    </xf>
    <xf numFmtId="0" fontId="33" fillId="13" borderId="2" xfId="0" applyFont="1" applyFill="1" applyBorder="1" applyAlignment="1">
      <alignment horizontal="left" vertical="center"/>
    </xf>
    <xf numFmtId="0" fontId="34" fillId="8" borderId="2" xfId="0" applyFont="1" applyFill="1" applyBorder="1" applyAlignment="1">
      <alignment horizontal="left" vertical="center"/>
    </xf>
    <xf numFmtId="164" fontId="35" fillId="8" borderId="2" xfId="0" applyNumberFormat="1" applyFont="1" applyFill="1" applyBorder="1" applyAlignment="1">
      <alignment horizontal="right" vertical="center"/>
    </xf>
    <xf numFmtId="0" fontId="36" fillId="8" borderId="2" xfId="0" applyFont="1" applyFill="1" applyBorder="1" applyAlignment="1">
      <alignment horizontal="left" vertical="center"/>
    </xf>
    <xf numFmtId="0" fontId="37" fillId="14" borderId="2" xfId="0" applyFont="1" applyFill="1" applyBorder="1" applyAlignment="1">
      <alignment horizontal="center" vertical="center"/>
    </xf>
    <xf numFmtId="164" fontId="35" fillId="10" borderId="2" xfId="0" applyNumberFormat="1" applyFont="1" applyFill="1" applyBorder="1" applyAlignment="1">
      <alignment horizontal="right" vertical="center"/>
    </xf>
    <xf numFmtId="0" fontId="15" fillId="13" borderId="2" xfId="0" applyFont="1" applyFill="1" applyBorder="1" applyAlignment="1">
      <alignment horizontal="center" vertical="center"/>
    </xf>
    <xf numFmtId="0" fontId="36" fillId="10" borderId="2" xfId="0" applyFont="1" applyFill="1" applyBorder="1" applyAlignment="1">
      <alignment horizontal="left" vertical="center"/>
    </xf>
    <xf numFmtId="0" fontId="38" fillId="14" borderId="2" xfId="0" applyFont="1" applyFill="1" applyBorder="1" applyAlignment="1">
      <alignment horizontal="center" vertical="center"/>
    </xf>
    <xf numFmtId="0" fontId="39" fillId="20" borderId="2" xfId="0" applyFont="1" applyFill="1" applyBorder="1" applyAlignment="1">
      <alignment horizontal="center" vertical="center"/>
    </xf>
    <xf numFmtId="0" fontId="40" fillId="20" borderId="2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left" vertical="center"/>
    </xf>
    <xf numFmtId="0" fontId="42" fillId="8" borderId="2" xfId="0" applyFont="1" applyFill="1" applyBorder="1" applyAlignment="1">
      <alignment horizontal="left" vertical="center"/>
    </xf>
    <xf numFmtId="0" fontId="14" fillId="8" borderId="2" xfId="0" applyFont="1" applyFill="1" applyBorder="1" applyAlignment="1">
      <alignment horizontal="center" vertical="center"/>
    </xf>
    <xf numFmtId="0" fontId="36" fillId="8" borderId="2" xfId="0" applyFont="1" applyFill="1" applyBorder="1" applyAlignment="1">
      <alignment horizontal="left" vertical="center" wrapText="1"/>
    </xf>
    <xf numFmtId="0" fontId="20" fillId="10" borderId="2" xfId="0" applyFont="1" applyFill="1" applyBorder="1" applyAlignment="1">
      <alignment horizontal="left" vertical="center"/>
    </xf>
    <xf numFmtId="0" fontId="42" fillId="10" borderId="2" xfId="0" applyFont="1" applyFill="1" applyBorder="1" applyAlignment="1">
      <alignment horizontal="left" vertical="center"/>
    </xf>
    <xf numFmtId="0" fontId="36" fillId="10" borderId="2" xfId="0" applyFont="1" applyFill="1" applyBorder="1" applyAlignment="1">
      <alignment horizontal="left" vertical="center" wrapText="1"/>
    </xf>
    <xf numFmtId="0" fontId="41" fillId="3" borderId="3" xfId="0" applyFont="1" applyFill="1" applyBorder="1" applyAlignment="1">
      <alignment horizontal="center" vertical="center"/>
    </xf>
    <xf numFmtId="0" fontId="36" fillId="16" borderId="2" xfId="0" applyFont="1" applyFill="1" applyBorder="1" applyAlignment="1">
      <alignment horizontal="left" vertical="center"/>
    </xf>
    <xf numFmtId="0" fontId="41" fillId="6" borderId="3" xfId="0" applyFont="1" applyFill="1" applyBorder="1" applyAlignment="1">
      <alignment horizontal="center" vertical="center"/>
    </xf>
    <xf numFmtId="0" fontId="43" fillId="8" borderId="2" xfId="0" applyFont="1" applyFill="1" applyBorder="1" applyAlignment="1">
      <alignment horizontal="left" vertical="center"/>
    </xf>
    <xf numFmtId="0" fontId="41" fillId="4" borderId="3" xfId="0" applyFont="1" applyFill="1" applyBorder="1" applyAlignment="1">
      <alignment horizontal="center" vertical="center"/>
    </xf>
    <xf numFmtId="0" fontId="44" fillId="8" borderId="2" xfId="0" applyFont="1" applyFill="1" applyBorder="1" applyAlignment="1">
      <alignment horizontal="left" vertical="center"/>
    </xf>
    <xf numFmtId="0" fontId="41" fillId="5" borderId="3" xfId="0" applyFont="1" applyFill="1" applyBorder="1" applyAlignment="1">
      <alignment horizontal="center" vertical="center"/>
    </xf>
    <xf numFmtId="0" fontId="45" fillId="8" borderId="2" xfId="0" applyFont="1" applyFill="1" applyBorder="1" applyAlignment="1">
      <alignment horizontal="left" vertical="center"/>
    </xf>
    <xf numFmtId="0" fontId="41" fillId="21" borderId="3" xfId="0" applyFont="1" applyFill="1" applyBorder="1" applyAlignment="1">
      <alignment horizontal="center" vertical="center"/>
    </xf>
    <xf numFmtId="0" fontId="46" fillId="8" borderId="2" xfId="0" applyFont="1" applyFill="1" applyBorder="1" applyAlignment="1">
      <alignment horizontal="left" vertical="center"/>
    </xf>
    <xf numFmtId="0" fontId="41" fillId="2" borderId="3" xfId="0" applyFont="1" applyFill="1" applyBorder="1" applyAlignment="1">
      <alignment horizontal="center" vertical="center"/>
    </xf>
    <xf numFmtId="0" fontId="47" fillId="8" borderId="2" xfId="0" applyFont="1" applyFill="1" applyBorder="1" applyAlignment="1">
      <alignment horizontal="left" vertical="center"/>
    </xf>
    <xf numFmtId="0" fontId="41" fillId="7" borderId="3" xfId="0" applyFont="1" applyFill="1" applyBorder="1" applyAlignment="1">
      <alignment horizontal="center" vertical="center"/>
    </xf>
    <xf numFmtId="0" fontId="48" fillId="8" borderId="2" xfId="0" applyFont="1" applyFill="1" applyBorder="1" applyAlignment="1">
      <alignment horizontal="left" vertical="center"/>
    </xf>
    <xf numFmtId="0" fontId="41" fillId="4" borderId="0" xfId="0" applyFont="1" applyFill="1" applyAlignment="1">
      <alignment horizontal="left" vertical="center"/>
    </xf>
    <xf numFmtId="0" fontId="49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BF3FB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C0C0C0"/>
      <rgbColor rgb="FF808080"/>
      <rgbColor rgb="FFA6A6A6"/>
      <rgbColor rgb="FF993366"/>
      <rgbColor rgb="FFFFF2CC"/>
      <rgbColor rgb="FFE0F2F1"/>
      <rgbColor rgb="FF660066"/>
      <rgbColor rgb="FFCD7F32"/>
      <rgbColor rgb="FF0066CC"/>
      <rgbColor rgb="FFDDDDDD"/>
      <rgbColor rgb="FF000080"/>
      <rgbColor rgb="FFFF00FF"/>
      <rgbColor rgb="FFD6E4F0"/>
      <rgbColor rgb="FF00FFFF"/>
      <rgbColor rgb="FF800080"/>
      <rgbColor rgb="FF800000"/>
      <rgbColor rgb="FF008080"/>
      <rgbColor rgb="FF0000FF"/>
      <rgbColor rgb="FF00CCFF"/>
      <rgbColor rgb="FFE3F2FD"/>
      <rgbColor rgb="FFE2EFDA"/>
      <rgbColor rgb="FFF2F2F2"/>
      <rgbColor rgb="FF9DC3E6"/>
      <rgbColor rgb="FFEDE7F6"/>
      <rgbColor rgb="FFAAAAAA"/>
      <rgbColor rgb="FFFCE4D6"/>
      <rgbColor rgb="FF2E75B6"/>
      <rgbColor rgb="FF33CCCC"/>
      <rgbColor rgb="FF99CC00"/>
      <rgbColor rgb="FFFFD700"/>
      <rgbColor rgb="FFFF9900"/>
      <rgbColor rgb="FFC55A11"/>
      <rgbColor rgb="FF595959"/>
      <rgbColor rgb="FF999999"/>
      <rgbColor rgb="FF003366"/>
      <rgbColor rgb="FF339966"/>
      <rgbColor rgb="FF003300"/>
      <rgbColor rgb="FF333300"/>
      <rgbColor rgb="FF7956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L34"/>
  <sheetViews>
    <sheetView showGridLines="0" tabSelected="1" zoomScale="117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R22" sqref="R22"/>
    </sheetView>
  </sheetViews>
  <sheetFormatPr baseColWidth="10" defaultColWidth="8.6640625" defaultRowHeight="15" x14ac:dyDescent="0.2"/>
  <cols>
    <col min="1" max="1" width="2" customWidth="1"/>
    <col min="2" max="2" width="22" customWidth="1"/>
    <col min="3" max="3" width="8" customWidth="1"/>
    <col min="4" max="4" width="14" customWidth="1"/>
    <col min="5" max="6" width="10" customWidth="1"/>
    <col min="7" max="8" width="12" customWidth="1"/>
    <col min="9" max="9" width="14" customWidth="1"/>
    <col min="10" max="10" width="10" customWidth="1"/>
    <col min="11" max="11" width="18" customWidth="1"/>
    <col min="12" max="12" width="2" customWidth="1"/>
  </cols>
  <sheetData>
    <row r="1" spans="1:12" ht="7.5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36" customHeight="1" x14ac:dyDescent="0.2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5"/>
    </row>
    <row r="3" spans="1:12" ht="19.5" customHeight="1" x14ac:dyDescent="0.2">
      <c r="A3" s="15"/>
      <c r="B3" s="13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5"/>
    </row>
    <row r="4" spans="1:12" ht="12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7.5" customHeight="1" x14ac:dyDescent="0.2"/>
    <row r="6" spans="1:12" ht="13.5" customHeight="1" x14ac:dyDescent="0.2">
      <c r="B6" s="12" t="s">
        <v>2</v>
      </c>
      <c r="C6" s="12"/>
      <c r="D6" s="11" t="s">
        <v>3</v>
      </c>
      <c r="E6" s="11"/>
      <c r="F6" s="10" t="s">
        <v>4</v>
      </c>
      <c r="G6" s="10"/>
      <c r="H6" s="9" t="s">
        <v>5</v>
      </c>
      <c r="I6" s="9"/>
      <c r="J6" s="8" t="s">
        <v>6</v>
      </c>
      <c r="K6" s="8"/>
    </row>
    <row r="7" spans="1:12" ht="27.75" customHeight="1" x14ac:dyDescent="0.2">
      <c r="B7" s="7" t="s">
        <v>7</v>
      </c>
      <c r="C7" s="7"/>
      <c r="D7" s="7" t="s">
        <v>8</v>
      </c>
      <c r="E7" s="7"/>
      <c r="F7" s="7" t="s">
        <v>9</v>
      </c>
      <c r="G7" s="7"/>
      <c r="H7" s="7" t="s">
        <v>10</v>
      </c>
      <c r="I7" s="7"/>
      <c r="J7" s="7" t="s">
        <v>11</v>
      </c>
      <c r="K7" s="7"/>
    </row>
    <row r="8" spans="1:12" ht="18" customHeight="1" x14ac:dyDescent="0.2">
      <c r="B8" s="7"/>
      <c r="C8" s="7"/>
      <c r="D8" s="7"/>
      <c r="E8" s="7"/>
      <c r="F8" s="7"/>
      <c r="G8" s="7"/>
      <c r="H8" s="7"/>
      <c r="I8" s="7"/>
      <c r="J8" s="7"/>
      <c r="K8" s="7"/>
    </row>
    <row r="9" spans="1:12" ht="7.5" customHeight="1" x14ac:dyDescent="0.2"/>
    <row r="10" spans="1:12" ht="9.75" customHeight="1" x14ac:dyDescent="0.2"/>
    <row r="11" spans="1:12" ht="27.75" customHeight="1" x14ac:dyDescent="0.2">
      <c r="B11" s="16" t="s">
        <v>12</v>
      </c>
      <c r="C11" s="16" t="s">
        <v>13</v>
      </c>
      <c r="D11" s="16" t="s">
        <v>14</v>
      </c>
      <c r="E11" s="16" t="s">
        <v>15</v>
      </c>
      <c r="F11" s="16" t="s">
        <v>16</v>
      </c>
      <c r="G11" s="16" t="s">
        <v>17</v>
      </c>
      <c r="H11" s="16" t="s">
        <v>18</v>
      </c>
      <c r="I11" s="16" t="s">
        <v>19</v>
      </c>
      <c r="J11" s="16" t="s">
        <v>20</v>
      </c>
      <c r="K11" s="16" t="s">
        <v>21</v>
      </c>
    </row>
    <row r="12" spans="1:12" ht="18" customHeight="1" x14ac:dyDescent="0.2">
      <c r="B12" s="17" t="s">
        <v>22</v>
      </c>
      <c r="C12" s="18">
        <v>29</v>
      </c>
      <c r="D12" s="18" t="s">
        <v>23</v>
      </c>
      <c r="E12" s="19">
        <v>71</v>
      </c>
      <c r="F12" s="20">
        <v>68</v>
      </c>
      <c r="G12" s="21" t="s">
        <v>24</v>
      </c>
      <c r="H12" s="21" t="s">
        <v>25</v>
      </c>
      <c r="I12" s="22" t="s">
        <v>26</v>
      </c>
      <c r="J12" s="23" t="s">
        <v>27</v>
      </c>
      <c r="K12" s="18" t="s">
        <v>28</v>
      </c>
    </row>
    <row r="13" spans="1:12" ht="18" customHeight="1" x14ac:dyDescent="0.2">
      <c r="B13" s="24" t="s">
        <v>29</v>
      </c>
      <c r="C13" s="25">
        <v>33</v>
      </c>
      <c r="D13" s="25" t="s">
        <v>30</v>
      </c>
      <c r="E13" s="26">
        <v>74</v>
      </c>
      <c r="F13" s="27">
        <v>52</v>
      </c>
      <c r="G13" s="28" t="s">
        <v>31</v>
      </c>
      <c r="H13" s="28" t="s">
        <v>32</v>
      </c>
      <c r="I13" s="29" t="s">
        <v>33</v>
      </c>
      <c r="J13" s="30" t="s">
        <v>34</v>
      </c>
      <c r="K13" s="25" t="s">
        <v>35</v>
      </c>
    </row>
    <row r="14" spans="1:12" ht="18" customHeight="1" x14ac:dyDescent="0.2">
      <c r="B14" s="31" t="s">
        <v>36</v>
      </c>
      <c r="C14" s="18">
        <v>37</v>
      </c>
      <c r="D14" s="18" t="s">
        <v>37</v>
      </c>
      <c r="E14" s="19">
        <v>62</v>
      </c>
      <c r="F14" s="20">
        <v>71</v>
      </c>
      <c r="G14" s="21" t="s">
        <v>38</v>
      </c>
      <c r="H14" s="21" t="s">
        <v>39</v>
      </c>
      <c r="I14" s="22" t="s">
        <v>26</v>
      </c>
      <c r="J14" s="32" t="s">
        <v>40</v>
      </c>
      <c r="K14" s="18" t="s">
        <v>41</v>
      </c>
    </row>
    <row r="15" spans="1:12" ht="18" customHeight="1" x14ac:dyDescent="0.2">
      <c r="B15" s="24" t="s">
        <v>42</v>
      </c>
      <c r="C15" s="25">
        <v>29</v>
      </c>
      <c r="D15" s="25" t="s">
        <v>30</v>
      </c>
      <c r="E15" s="26">
        <v>62</v>
      </c>
      <c r="F15" s="27">
        <v>50</v>
      </c>
      <c r="G15" s="28" t="s">
        <v>43</v>
      </c>
      <c r="H15" s="28" t="s">
        <v>44</v>
      </c>
      <c r="I15" s="29" t="s">
        <v>33</v>
      </c>
      <c r="J15" s="30" t="s">
        <v>34</v>
      </c>
      <c r="K15" s="25" t="s">
        <v>45</v>
      </c>
    </row>
    <row r="16" spans="1:12" ht="18" customHeight="1" x14ac:dyDescent="0.2">
      <c r="B16" s="17" t="s">
        <v>46</v>
      </c>
      <c r="C16" s="18">
        <v>28</v>
      </c>
      <c r="D16" s="18" t="s">
        <v>23</v>
      </c>
      <c r="E16" s="19">
        <v>78</v>
      </c>
      <c r="F16" s="20">
        <v>65</v>
      </c>
      <c r="G16" s="21" t="s">
        <v>47</v>
      </c>
      <c r="H16" s="21" t="s">
        <v>48</v>
      </c>
      <c r="I16" s="22" t="s">
        <v>26</v>
      </c>
      <c r="J16" s="23" t="s">
        <v>34</v>
      </c>
      <c r="K16" s="18" t="s">
        <v>49</v>
      </c>
    </row>
    <row r="17" spans="2:11" ht="18" customHeight="1" x14ac:dyDescent="0.2">
      <c r="B17" s="24" t="s">
        <v>50</v>
      </c>
      <c r="C17" s="25">
        <v>30</v>
      </c>
      <c r="D17" s="25" t="s">
        <v>51</v>
      </c>
      <c r="E17" s="26">
        <v>64</v>
      </c>
      <c r="F17" s="27">
        <v>58</v>
      </c>
      <c r="G17" s="28" t="s">
        <v>52</v>
      </c>
      <c r="H17" s="28" t="s">
        <v>53</v>
      </c>
      <c r="I17" s="29" t="s">
        <v>33</v>
      </c>
      <c r="J17" s="32" t="s">
        <v>54</v>
      </c>
      <c r="K17" s="25" t="s">
        <v>55</v>
      </c>
    </row>
    <row r="18" spans="2:11" ht="18" customHeight="1" x14ac:dyDescent="0.2">
      <c r="B18" s="17" t="s">
        <v>56</v>
      </c>
      <c r="C18" s="18">
        <v>31</v>
      </c>
      <c r="D18" s="18" t="s">
        <v>57</v>
      </c>
      <c r="E18" s="19">
        <v>68</v>
      </c>
      <c r="F18" s="33">
        <v>52</v>
      </c>
      <c r="G18" s="21" t="s">
        <v>58</v>
      </c>
      <c r="H18" s="21" t="s">
        <v>59</v>
      </c>
      <c r="I18" s="29" t="s">
        <v>33</v>
      </c>
      <c r="J18" s="23" t="s">
        <v>34</v>
      </c>
      <c r="K18" s="18" t="s">
        <v>60</v>
      </c>
    </row>
    <row r="19" spans="2:11" ht="18" customHeight="1" x14ac:dyDescent="0.2">
      <c r="B19" s="34" t="s">
        <v>61</v>
      </c>
      <c r="C19" s="25">
        <v>23</v>
      </c>
      <c r="D19" s="25" t="s">
        <v>62</v>
      </c>
      <c r="E19" s="26">
        <v>82</v>
      </c>
      <c r="F19" s="35">
        <v>63</v>
      </c>
      <c r="G19" s="28" t="s">
        <v>63</v>
      </c>
      <c r="H19" s="28" t="s">
        <v>64</v>
      </c>
      <c r="I19" s="22" t="s">
        <v>26</v>
      </c>
      <c r="J19" s="30" t="s">
        <v>34</v>
      </c>
      <c r="K19" s="25" t="s">
        <v>65</v>
      </c>
    </row>
    <row r="20" spans="2:11" ht="18" customHeight="1" x14ac:dyDescent="0.2">
      <c r="B20" s="17" t="s">
        <v>66</v>
      </c>
      <c r="C20" s="18">
        <v>21</v>
      </c>
      <c r="D20" s="18" t="s">
        <v>30</v>
      </c>
      <c r="E20" s="19">
        <v>58</v>
      </c>
      <c r="F20" s="33">
        <v>55</v>
      </c>
      <c r="G20" s="21" t="s">
        <v>67</v>
      </c>
      <c r="H20" s="21" t="s">
        <v>68</v>
      </c>
      <c r="I20" s="29" t="s">
        <v>33</v>
      </c>
      <c r="J20" s="23" t="s">
        <v>34</v>
      </c>
      <c r="K20" s="18" t="s">
        <v>69</v>
      </c>
    </row>
    <row r="21" spans="2:11" ht="18" customHeight="1" x14ac:dyDescent="0.2">
      <c r="B21" s="24" t="s">
        <v>70</v>
      </c>
      <c r="C21" s="25">
        <v>27</v>
      </c>
      <c r="D21" s="25" t="s">
        <v>71</v>
      </c>
      <c r="E21" s="26">
        <v>55</v>
      </c>
      <c r="F21" s="35">
        <v>62</v>
      </c>
      <c r="G21" s="28" t="s">
        <v>58</v>
      </c>
      <c r="H21" s="28" t="s">
        <v>72</v>
      </c>
      <c r="I21" s="22" t="s">
        <v>26</v>
      </c>
      <c r="J21" s="30" t="s">
        <v>73</v>
      </c>
      <c r="K21" s="25" t="s">
        <v>74</v>
      </c>
    </row>
    <row r="22" spans="2:11" ht="18" customHeight="1" x14ac:dyDescent="0.2">
      <c r="B22" s="17" t="s">
        <v>75</v>
      </c>
      <c r="C22" s="18">
        <v>23</v>
      </c>
      <c r="D22" s="18" t="s">
        <v>76</v>
      </c>
      <c r="E22" s="19">
        <v>52</v>
      </c>
      <c r="F22" s="33">
        <v>57</v>
      </c>
      <c r="G22" s="21" t="s">
        <v>77</v>
      </c>
      <c r="H22" s="21" t="s">
        <v>78</v>
      </c>
      <c r="I22" s="29" t="s">
        <v>33</v>
      </c>
      <c r="J22" s="23" t="s">
        <v>73</v>
      </c>
      <c r="K22" s="18" t="s">
        <v>79</v>
      </c>
    </row>
    <row r="23" spans="2:11" ht="18" customHeight="1" x14ac:dyDescent="0.2">
      <c r="B23" s="24" t="s">
        <v>80</v>
      </c>
      <c r="C23" s="25">
        <v>22</v>
      </c>
      <c r="D23" s="25" t="s">
        <v>30</v>
      </c>
      <c r="E23" s="26">
        <v>60</v>
      </c>
      <c r="F23" s="35">
        <v>60</v>
      </c>
      <c r="G23" s="28" t="s">
        <v>81</v>
      </c>
      <c r="H23" s="28" t="s">
        <v>82</v>
      </c>
      <c r="I23" s="22" t="s">
        <v>26</v>
      </c>
      <c r="J23" s="30" t="s">
        <v>73</v>
      </c>
      <c r="K23" s="25" t="s">
        <v>83</v>
      </c>
    </row>
    <row r="24" spans="2:11" ht="18" customHeight="1" x14ac:dyDescent="0.2">
      <c r="B24" s="17" t="s">
        <v>84</v>
      </c>
      <c r="C24" s="18">
        <v>24</v>
      </c>
      <c r="D24" s="18" t="s">
        <v>85</v>
      </c>
      <c r="E24" s="19">
        <v>48</v>
      </c>
      <c r="F24" s="33">
        <v>52</v>
      </c>
      <c r="G24" s="21" t="s">
        <v>24</v>
      </c>
      <c r="H24" s="21" t="s">
        <v>86</v>
      </c>
      <c r="I24" s="29" t="s">
        <v>33</v>
      </c>
      <c r="J24" s="23" t="s">
        <v>34</v>
      </c>
      <c r="K24" s="18" t="s">
        <v>87</v>
      </c>
    </row>
    <row r="25" spans="2:11" ht="18" customHeight="1" x14ac:dyDescent="0.2">
      <c r="B25" s="34" t="s">
        <v>88</v>
      </c>
      <c r="C25" s="25">
        <v>29</v>
      </c>
      <c r="D25" s="25" t="s">
        <v>30</v>
      </c>
      <c r="E25" s="26">
        <v>42</v>
      </c>
      <c r="F25" s="36">
        <v>38</v>
      </c>
      <c r="G25" s="28" t="s">
        <v>31</v>
      </c>
      <c r="H25" s="28" t="s">
        <v>89</v>
      </c>
      <c r="I25" s="37" t="s">
        <v>90</v>
      </c>
      <c r="J25" s="32" t="s">
        <v>91</v>
      </c>
      <c r="K25" s="25" t="s">
        <v>92</v>
      </c>
    </row>
    <row r="26" spans="2:11" ht="18" customHeight="1" x14ac:dyDescent="0.2">
      <c r="B26" s="17" t="s">
        <v>93</v>
      </c>
      <c r="C26" s="18">
        <v>29</v>
      </c>
      <c r="D26" s="18" t="s">
        <v>62</v>
      </c>
      <c r="E26" s="19">
        <v>44</v>
      </c>
      <c r="F26" s="33">
        <v>54</v>
      </c>
      <c r="G26" s="21" t="s">
        <v>52</v>
      </c>
      <c r="H26" s="21" t="s">
        <v>94</v>
      </c>
      <c r="I26" s="29" t="s">
        <v>33</v>
      </c>
      <c r="J26" s="32" t="s">
        <v>54</v>
      </c>
      <c r="K26" s="18" t="s">
        <v>95</v>
      </c>
    </row>
    <row r="27" spans="2:11" ht="18" customHeight="1" x14ac:dyDescent="0.2">
      <c r="B27" s="24" t="s">
        <v>96</v>
      </c>
      <c r="C27" s="25">
        <v>28</v>
      </c>
      <c r="D27" s="25" t="s">
        <v>71</v>
      </c>
      <c r="E27" s="26">
        <v>54</v>
      </c>
      <c r="F27" s="27">
        <v>59</v>
      </c>
      <c r="G27" s="28" t="s">
        <v>97</v>
      </c>
      <c r="H27" s="28" t="s">
        <v>98</v>
      </c>
      <c r="I27" s="29" t="s">
        <v>33</v>
      </c>
      <c r="J27" s="30" t="s">
        <v>27</v>
      </c>
      <c r="K27" s="25" t="s">
        <v>99</v>
      </c>
    </row>
    <row r="28" spans="2:11" ht="18" customHeight="1" x14ac:dyDescent="0.2">
      <c r="B28" s="38" t="s">
        <v>100</v>
      </c>
      <c r="C28" s="18">
        <v>17</v>
      </c>
      <c r="D28" s="18" t="s">
        <v>62</v>
      </c>
      <c r="E28" s="19">
        <v>22</v>
      </c>
      <c r="F28" s="33">
        <v>58</v>
      </c>
      <c r="G28" s="21" t="s">
        <v>34</v>
      </c>
      <c r="H28" s="21" t="s">
        <v>101</v>
      </c>
      <c r="I28" s="29" t="s">
        <v>33</v>
      </c>
      <c r="J28" s="23" t="s">
        <v>34</v>
      </c>
      <c r="K28" s="18" t="s">
        <v>102</v>
      </c>
    </row>
    <row r="29" spans="2:11" ht="18" customHeight="1" x14ac:dyDescent="0.2">
      <c r="B29" s="24" t="s">
        <v>103</v>
      </c>
      <c r="C29" s="25">
        <v>26</v>
      </c>
      <c r="D29" s="25" t="s">
        <v>37</v>
      </c>
      <c r="E29" s="26">
        <v>20</v>
      </c>
      <c r="F29" s="27">
        <v>52</v>
      </c>
      <c r="G29" s="28" t="s">
        <v>104</v>
      </c>
      <c r="H29" s="28" t="s">
        <v>101</v>
      </c>
      <c r="I29" s="29" t="s">
        <v>33</v>
      </c>
      <c r="J29" s="30" t="s">
        <v>73</v>
      </c>
      <c r="K29" s="25" t="s">
        <v>105</v>
      </c>
    </row>
    <row r="30" spans="2:11" ht="18" customHeight="1" x14ac:dyDescent="0.2">
      <c r="B30" s="17" t="s">
        <v>106</v>
      </c>
      <c r="C30" s="18">
        <v>29</v>
      </c>
      <c r="D30" s="18" t="s">
        <v>71</v>
      </c>
      <c r="E30" s="19">
        <v>10</v>
      </c>
      <c r="F30" s="33">
        <v>52</v>
      </c>
      <c r="G30" s="21" t="s">
        <v>52</v>
      </c>
      <c r="H30" s="21" t="s">
        <v>59</v>
      </c>
      <c r="I30" s="29" t="s">
        <v>33</v>
      </c>
      <c r="J30" s="23" t="s">
        <v>73</v>
      </c>
      <c r="K30" s="18" t="s">
        <v>107</v>
      </c>
    </row>
    <row r="31" spans="2:11" ht="18" customHeight="1" x14ac:dyDescent="0.2">
      <c r="B31" s="34" t="s">
        <v>108</v>
      </c>
      <c r="C31" s="25">
        <v>28</v>
      </c>
      <c r="D31" s="25" t="s">
        <v>23</v>
      </c>
      <c r="E31" s="26">
        <v>5</v>
      </c>
      <c r="F31" s="36">
        <v>43</v>
      </c>
      <c r="G31" s="28" t="s">
        <v>24</v>
      </c>
      <c r="H31" s="28" t="s">
        <v>89</v>
      </c>
      <c r="I31" s="37" t="s">
        <v>90</v>
      </c>
      <c r="J31" s="30" t="s">
        <v>34</v>
      </c>
      <c r="K31" s="25" t="s">
        <v>109</v>
      </c>
    </row>
    <row r="33" spans="1:12" ht="9.75" customHeight="1" x14ac:dyDescent="0.2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</row>
    <row r="34" spans="1:12" ht="13.5" customHeight="1" x14ac:dyDescent="0.2">
      <c r="B34" s="6" t="s">
        <v>110</v>
      </c>
      <c r="C34" s="6"/>
      <c r="D34" s="6"/>
      <c r="E34" s="6"/>
      <c r="F34" s="6"/>
      <c r="G34" s="6"/>
      <c r="H34" s="6"/>
      <c r="I34" s="6"/>
      <c r="J34" s="6"/>
      <c r="K34" s="6"/>
    </row>
  </sheetData>
  <mergeCells count="13">
    <mergeCell ref="B34:K34"/>
    <mergeCell ref="B7:C8"/>
    <mergeCell ref="D7:E8"/>
    <mergeCell ref="F7:G8"/>
    <mergeCell ref="H7:I8"/>
    <mergeCell ref="J7:K8"/>
    <mergeCell ref="B2:K2"/>
    <mergeCell ref="B3:K3"/>
    <mergeCell ref="B6:C6"/>
    <mergeCell ref="D6:E6"/>
    <mergeCell ref="F6:G6"/>
    <mergeCell ref="H6:I6"/>
    <mergeCell ref="J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2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2" customWidth="1"/>
    <col min="2" max="2" width="4" customWidth="1"/>
    <col min="3" max="3" width="22" customWidth="1"/>
    <col min="4" max="4" width="14" customWidth="1"/>
    <col min="5" max="7" width="12" customWidth="1"/>
    <col min="8" max="8" width="2" customWidth="1"/>
  </cols>
  <sheetData>
    <row r="1" spans="1:8" ht="7.5" customHeight="1" x14ac:dyDescent="0.2">
      <c r="A1" s="15"/>
      <c r="B1" s="15"/>
      <c r="C1" s="15"/>
      <c r="D1" s="15"/>
      <c r="E1" s="15"/>
      <c r="F1" s="15"/>
      <c r="G1" s="15"/>
      <c r="H1" s="15"/>
    </row>
    <row r="2" spans="1:8" ht="30" customHeight="1" x14ac:dyDescent="0.2">
      <c r="A2" s="15"/>
      <c r="B2" s="5" t="s">
        <v>111</v>
      </c>
      <c r="C2" s="5"/>
      <c r="D2" s="5"/>
      <c r="E2" s="5"/>
      <c r="F2" s="5"/>
      <c r="G2" s="5"/>
      <c r="H2" s="15"/>
    </row>
    <row r="3" spans="1:8" ht="12" customHeight="1" x14ac:dyDescent="0.2">
      <c r="A3" s="15"/>
      <c r="B3" s="15"/>
      <c r="C3" s="15"/>
      <c r="D3" s="15"/>
      <c r="E3" s="15"/>
      <c r="F3" s="15"/>
      <c r="G3" s="15"/>
      <c r="H3" s="15"/>
    </row>
    <row r="4" spans="1:8" ht="9.75" customHeight="1" x14ac:dyDescent="0.2"/>
    <row r="5" spans="1:8" ht="24" customHeight="1" x14ac:dyDescent="0.2">
      <c r="B5" s="40" t="s">
        <v>112</v>
      </c>
      <c r="C5" s="40" t="s">
        <v>12</v>
      </c>
      <c r="D5" s="40" t="s">
        <v>14</v>
      </c>
      <c r="E5" s="40" t="s">
        <v>15</v>
      </c>
      <c r="F5" s="40" t="s">
        <v>16</v>
      </c>
      <c r="G5" s="40" t="s">
        <v>18</v>
      </c>
    </row>
    <row r="6" spans="1:8" ht="19.5" customHeight="1" x14ac:dyDescent="0.2">
      <c r="B6" s="41">
        <v>1</v>
      </c>
      <c r="C6" s="42" t="s">
        <v>113</v>
      </c>
      <c r="D6" s="19" t="s">
        <v>37</v>
      </c>
      <c r="E6" s="43">
        <v>62</v>
      </c>
      <c r="F6" s="44">
        <v>71</v>
      </c>
      <c r="G6" s="45" t="s">
        <v>39</v>
      </c>
    </row>
    <row r="7" spans="1:8" ht="19.5" customHeight="1" x14ac:dyDescent="0.2">
      <c r="B7" s="46">
        <v>2</v>
      </c>
      <c r="C7" s="47" t="s">
        <v>22</v>
      </c>
      <c r="D7" s="26" t="s">
        <v>23</v>
      </c>
      <c r="E7" s="48">
        <v>71</v>
      </c>
      <c r="F7" s="44">
        <v>68</v>
      </c>
      <c r="G7" s="49" t="s">
        <v>25</v>
      </c>
    </row>
    <row r="8" spans="1:8" ht="19.5" customHeight="1" x14ac:dyDescent="0.2">
      <c r="B8" s="50">
        <v>3</v>
      </c>
      <c r="C8" s="51" t="s">
        <v>46</v>
      </c>
      <c r="D8" s="19" t="s">
        <v>23</v>
      </c>
      <c r="E8" s="43">
        <v>78</v>
      </c>
      <c r="F8" s="44">
        <v>65</v>
      </c>
      <c r="G8" s="45" t="s">
        <v>48</v>
      </c>
    </row>
    <row r="9" spans="1:8" ht="19.5" customHeight="1" x14ac:dyDescent="0.2">
      <c r="B9" s="52">
        <v>4</v>
      </c>
      <c r="C9" s="53" t="s">
        <v>114</v>
      </c>
      <c r="D9" s="26" t="s">
        <v>62</v>
      </c>
      <c r="E9" s="48">
        <v>82</v>
      </c>
      <c r="F9" s="44">
        <v>63</v>
      </c>
      <c r="G9" s="49" t="s">
        <v>64</v>
      </c>
    </row>
    <row r="10" spans="1:8" ht="19.5" customHeight="1" x14ac:dyDescent="0.2">
      <c r="B10" s="54">
        <v>5</v>
      </c>
      <c r="C10" s="51" t="s">
        <v>70</v>
      </c>
      <c r="D10" s="19" t="s">
        <v>71</v>
      </c>
      <c r="E10" s="43">
        <v>55</v>
      </c>
      <c r="F10" s="44">
        <v>62</v>
      </c>
      <c r="G10" s="45" t="s">
        <v>72</v>
      </c>
    </row>
    <row r="11" spans="1:8" ht="19.5" customHeight="1" x14ac:dyDescent="0.2">
      <c r="B11" s="52">
        <v>6</v>
      </c>
      <c r="C11" s="47" t="s">
        <v>80</v>
      </c>
      <c r="D11" s="26" t="s">
        <v>30</v>
      </c>
      <c r="E11" s="48">
        <v>60</v>
      </c>
      <c r="F11" s="44">
        <v>60</v>
      </c>
      <c r="G11" s="49" t="s">
        <v>82</v>
      </c>
    </row>
    <row r="12" spans="1:8" ht="19.5" customHeight="1" x14ac:dyDescent="0.2">
      <c r="B12" s="54">
        <v>7</v>
      </c>
      <c r="C12" s="51" t="s">
        <v>96</v>
      </c>
      <c r="D12" s="19" t="s">
        <v>71</v>
      </c>
      <c r="E12" s="43">
        <v>54</v>
      </c>
      <c r="F12" s="55">
        <v>59</v>
      </c>
      <c r="G12" s="45" t="s">
        <v>98</v>
      </c>
    </row>
    <row r="13" spans="1:8" ht="19.5" customHeight="1" x14ac:dyDescent="0.2">
      <c r="B13" s="52">
        <v>8</v>
      </c>
      <c r="C13" s="47" t="s">
        <v>50</v>
      </c>
      <c r="D13" s="26" t="s">
        <v>51</v>
      </c>
      <c r="E13" s="48">
        <v>64</v>
      </c>
      <c r="F13" s="55">
        <v>58</v>
      </c>
      <c r="G13" s="49" t="s">
        <v>53</v>
      </c>
    </row>
    <row r="14" spans="1:8" ht="19.5" customHeight="1" x14ac:dyDescent="0.2">
      <c r="B14" s="54">
        <v>9</v>
      </c>
      <c r="C14" s="56" t="s">
        <v>115</v>
      </c>
      <c r="D14" s="19" t="s">
        <v>62</v>
      </c>
      <c r="E14" s="43">
        <v>22</v>
      </c>
      <c r="F14" s="55">
        <v>58</v>
      </c>
      <c r="G14" s="45" t="s">
        <v>101</v>
      </c>
    </row>
    <row r="15" spans="1:8" ht="19.5" customHeight="1" x14ac:dyDescent="0.2">
      <c r="B15" s="52">
        <v>10</v>
      </c>
      <c r="C15" s="47" t="s">
        <v>75</v>
      </c>
      <c r="D15" s="26" t="s">
        <v>76</v>
      </c>
      <c r="E15" s="48">
        <v>52</v>
      </c>
      <c r="F15" s="55">
        <v>57</v>
      </c>
      <c r="G15" s="49" t="s">
        <v>78</v>
      </c>
    </row>
    <row r="16" spans="1:8" ht="19.5" customHeight="1" x14ac:dyDescent="0.2">
      <c r="B16" s="54">
        <v>11</v>
      </c>
      <c r="C16" s="51" t="s">
        <v>66</v>
      </c>
      <c r="D16" s="19" t="s">
        <v>30</v>
      </c>
      <c r="E16" s="43">
        <v>58</v>
      </c>
      <c r="F16" s="55">
        <v>55</v>
      </c>
      <c r="G16" s="45" t="s">
        <v>68</v>
      </c>
    </row>
    <row r="17" spans="2:7" ht="19.5" customHeight="1" x14ac:dyDescent="0.2">
      <c r="B17" s="52">
        <v>12</v>
      </c>
      <c r="C17" s="47" t="s">
        <v>93</v>
      </c>
      <c r="D17" s="26" t="s">
        <v>62</v>
      </c>
      <c r="E17" s="48">
        <v>44</v>
      </c>
      <c r="F17" s="55">
        <v>54</v>
      </c>
      <c r="G17" s="49" t="s">
        <v>94</v>
      </c>
    </row>
    <row r="18" spans="2:7" ht="19.5" customHeight="1" x14ac:dyDescent="0.2">
      <c r="B18" s="54">
        <v>13</v>
      </c>
      <c r="C18" s="51" t="s">
        <v>29</v>
      </c>
      <c r="D18" s="19" t="s">
        <v>30</v>
      </c>
      <c r="E18" s="43">
        <v>74</v>
      </c>
      <c r="F18" s="55">
        <v>52</v>
      </c>
      <c r="G18" s="45" t="s">
        <v>32</v>
      </c>
    </row>
    <row r="19" spans="2:7" ht="19.5" customHeight="1" x14ac:dyDescent="0.2">
      <c r="B19" s="52">
        <v>14</v>
      </c>
      <c r="C19" s="47" t="s">
        <v>56</v>
      </c>
      <c r="D19" s="26" t="s">
        <v>57</v>
      </c>
      <c r="E19" s="48">
        <v>68</v>
      </c>
      <c r="F19" s="55">
        <v>52</v>
      </c>
      <c r="G19" s="49" t="s">
        <v>59</v>
      </c>
    </row>
    <row r="20" spans="2:7" ht="19.5" customHeight="1" x14ac:dyDescent="0.2">
      <c r="B20" s="54">
        <v>15</v>
      </c>
      <c r="C20" s="51" t="s">
        <v>84</v>
      </c>
      <c r="D20" s="19" t="s">
        <v>85</v>
      </c>
      <c r="E20" s="43">
        <v>48</v>
      </c>
      <c r="F20" s="55">
        <v>52</v>
      </c>
      <c r="G20" s="45" t="s">
        <v>86</v>
      </c>
    </row>
    <row r="21" spans="2:7" ht="19.5" customHeight="1" x14ac:dyDescent="0.2">
      <c r="B21" s="52">
        <v>16</v>
      </c>
      <c r="C21" s="47" t="s">
        <v>103</v>
      </c>
      <c r="D21" s="26" t="s">
        <v>37</v>
      </c>
      <c r="E21" s="48">
        <v>20</v>
      </c>
      <c r="F21" s="55">
        <v>52</v>
      </c>
      <c r="G21" s="49" t="s">
        <v>101</v>
      </c>
    </row>
    <row r="22" spans="2:7" ht="19.5" customHeight="1" x14ac:dyDescent="0.2">
      <c r="B22" s="54">
        <v>17</v>
      </c>
      <c r="C22" s="51" t="s">
        <v>106</v>
      </c>
      <c r="D22" s="19" t="s">
        <v>71</v>
      </c>
      <c r="E22" s="43">
        <v>10</v>
      </c>
      <c r="F22" s="55">
        <v>52</v>
      </c>
      <c r="G22" s="45" t="s">
        <v>59</v>
      </c>
    </row>
    <row r="23" spans="2:7" ht="19.5" customHeight="1" x14ac:dyDescent="0.2">
      <c r="B23" s="52">
        <v>18</v>
      </c>
      <c r="C23" s="47" t="s">
        <v>42</v>
      </c>
      <c r="D23" s="26" t="s">
        <v>30</v>
      </c>
      <c r="E23" s="48">
        <v>62</v>
      </c>
      <c r="F23" s="55">
        <v>50</v>
      </c>
      <c r="G23" s="49" t="s">
        <v>44</v>
      </c>
    </row>
    <row r="24" spans="2:7" ht="19.5" customHeight="1" x14ac:dyDescent="0.2">
      <c r="B24" s="54">
        <v>19</v>
      </c>
      <c r="C24" s="51" t="s">
        <v>108</v>
      </c>
      <c r="D24" s="19" t="s">
        <v>23</v>
      </c>
      <c r="E24" s="43">
        <v>5</v>
      </c>
      <c r="F24" s="57">
        <v>43</v>
      </c>
      <c r="G24" s="45" t="s">
        <v>89</v>
      </c>
    </row>
    <row r="25" spans="2:7" ht="19.5" customHeight="1" x14ac:dyDescent="0.2">
      <c r="B25" s="52">
        <v>20</v>
      </c>
      <c r="C25" s="53" t="s">
        <v>116</v>
      </c>
      <c r="D25" s="26" t="s">
        <v>30</v>
      </c>
      <c r="E25" s="48">
        <v>42</v>
      </c>
      <c r="F25" s="57">
        <v>38</v>
      </c>
      <c r="G25" s="49" t="s">
        <v>89</v>
      </c>
    </row>
  </sheetData>
  <mergeCells count="1">
    <mergeCell ref="B2:G2"/>
  </mergeCells>
  <conditionalFormatting sqref="F6:F25">
    <cfRule type="colorScale" priority="2">
      <colorScale>
        <cfvo type="num" val="35"/>
        <cfvo type="num" val="58"/>
        <cfvo type="num" val="75"/>
        <color rgb="FFFCE4D6"/>
        <color rgb="FFFFF2CC"/>
        <color rgb="FFE2EFDA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95C"/>
  </sheetPr>
  <dimension ref="A1:G2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2" customWidth="1"/>
    <col min="2" max="2" width="22" customWidth="1"/>
    <col min="3" max="3" width="12" customWidth="1"/>
    <col min="4" max="6" width="14" customWidth="1"/>
    <col min="7" max="7" width="2" customWidth="1"/>
  </cols>
  <sheetData>
    <row r="1" spans="1:7" ht="7.5" customHeight="1" x14ac:dyDescent="0.2">
      <c r="A1" s="15"/>
      <c r="B1" s="15"/>
      <c r="C1" s="15"/>
      <c r="D1" s="15"/>
      <c r="E1" s="15"/>
      <c r="F1" s="15"/>
      <c r="G1" s="15"/>
    </row>
    <row r="2" spans="1:7" ht="30" customHeight="1" x14ac:dyDescent="0.2">
      <c r="A2" s="15"/>
      <c r="B2" s="4" t="s">
        <v>117</v>
      </c>
      <c r="C2" s="4"/>
      <c r="D2" s="4"/>
      <c r="E2" s="4"/>
      <c r="F2" s="4"/>
      <c r="G2" s="15"/>
    </row>
    <row r="3" spans="1:7" ht="12" customHeight="1" x14ac:dyDescent="0.2">
      <c r="A3" s="15"/>
      <c r="B3" s="15"/>
      <c r="C3" s="15"/>
      <c r="D3" s="15"/>
      <c r="E3" s="15"/>
      <c r="F3" s="15"/>
      <c r="G3" s="15"/>
    </row>
    <row r="4" spans="1:7" ht="9.75" customHeight="1" x14ac:dyDescent="0.2"/>
    <row r="5" spans="1:7" ht="24" customHeight="1" x14ac:dyDescent="0.2">
      <c r="B5" s="40" t="s">
        <v>12</v>
      </c>
      <c r="C5" s="40" t="s">
        <v>16</v>
      </c>
      <c r="D5" s="40" t="s">
        <v>118</v>
      </c>
      <c r="E5" s="40" t="s">
        <v>119</v>
      </c>
      <c r="F5" s="40" t="s">
        <v>120</v>
      </c>
    </row>
    <row r="6" spans="1:7" ht="18" customHeight="1" x14ac:dyDescent="0.2">
      <c r="B6" s="17" t="s">
        <v>22</v>
      </c>
      <c r="C6" s="20">
        <v>68</v>
      </c>
      <c r="D6" s="58">
        <v>648000</v>
      </c>
      <c r="E6" s="58">
        <v>1100000</v>
      </c>
      <c r="F6" s="59" t="s">
        <v>121</v>
      </c>
    </row>
    <row r="7" spans="1:7" ht="18" customHeight="1" x14ac:dyDescent="0.2">
      <c r="B7" s="24" t="s">
        <v>29</v>
      </c>
      <c r="C7" s="35">
        <v>52</v>
      </c>
      <c r="D7" s="60">
        <v>864000</v>
      </c>
      <c r="E7" s="60">
        <v>850000</v>
      </c>
      <c r="F7" s="61" t="s">
        <v>121</v>
      </c>
    </row>
    <row r="8" spans="1:7" ht="18" customHeight="1" x14ac:dyDescent="0.2">
      <c r="B8" s="17" t="s">
        <v>36</v>
      </c>
      <c r="C8" s="20">
        <v>71</v>
      </c>
      <c r="D8" s="58">
        <v>540000</v>
      </c>
      <c r="E8" s="58">
        <v>2050000</v>
      </c>
      <c r="F8" s="62" t="s">
        <v>122</v>
      </c>
    </row>
    <row r="9" spans="1:7" ht="18" customHeight="1" x14ac:dyDescent="0.2">
      <c r="B9" s="24" t="s">
        <v>42</v>
      </c>
      <c r="C9" s="35">
        <v>50</v>
      </c>
      <c r="D9" s="60">
        <v>972000</v>
      </c>
      <c r="E9" s="60">
        <v>780000</v>
      </c>
      <c r="F9" s="61" t="s">
        <v>121</v>
      </c>
    </row>
    <row r="10" spans="1:7" ht="18" customHeight="1" x14ac:dyDescent="0.2">
      <c r="B10" s="17" t="s">
        <v>46</v>
      </c>
      <c r="C10" s="20">
        <v>65</v>
      </c>
      <c r="D10" s="58">
        <v>2700000</v>
      </c>
      <c r="E10" s="58">
        <v>2800000</v>
      </c>
      <c r="F10" s="59" t="s">
        <v>121</v>
      </c>
    </row>
    <row r="11" spans="1:7" ht="18" customHeight="1" x14ac:dyDescent="0.2">
      <c r="B11" s="24" t="s">
        <v>50</v>
      </c>
      <c r="C11" s="35">
        <v>58</v>
      </c>
      <c r="D11" s="60">
        <v>1296000</v>
      </c>
      <c r="E11" s="60">
        <v>1350000</v>
      </c>
      <c r="F11" s="61" t="s">
        <v>121</v>
      </c>
    </row>
    <row r="12" spans="1:7" ht="18" customHeight="1" x14ac:dyDescent="0.2">
      <c r="B12" s="17" t="s">
        <v>56</v>
      </c>
      <c r="C12" s="20">
        <v>52</v>
      </c>
      <c r="D12" s="58">
        <v>2376000</v>
      </c>
      <c r="E12" s="58">
        <v>870000</v>
      </c>
      <c r="F12" s="63" t="s">
        <v>123</v>
      </c>
    </row>
    <row r="13" spans="1:7" ht="18" customHeight="1" x14ac:dyDescent="0.2">
      <c r="B13" s="24" t="s">
        <v>61</v>
      </c>
      <c r="C13" s="35">
        <v>63</v>
      </c>
      <c r="D13" s="60">
        <v>4320000</v>
      </c>
      <c r="E13" s="60">
        <v>2650000</v>
      </c>
      <c r="F13" s="63" t="s">
        <v>124</v>
      </c>
    </row>
    <row r="14" spans="1:7" ht="18" customHeight="1" x14ac:dyDescent="0.2">
      <c r="B14" s="17" t="s">
        <v>66</v>
      </c>
      <c r="C14" s="20">
        <v>55</v>
      </c>
      <c r="D14" s="58">
        <v>216000</v>
      </c>
      <c r="E14" s="58">
        <v>960000</v>
      </c>
      <c r="F14" s="62" t="s">
        <v>125</v>
      </c>
    </row>
    <row r="15" spans="1:7" ht="18" customHeight="1" x14ac:dyDescent="0.2">
      <c r="B15" s="24" t="s">
        <v>70</v>
      </c>
      <c r="C15" s="35">
        <v>62</v>
      </c>
      <c r="D15" s="60">
        <v>2376000</v>
      </c>
      <c r="E15" s="60">
        <v>2100000</v>
      </c>
      <c r="F15" s="61" t="s">
        <v>121</v>
      </c>
    </row>
    <row r="16" spans="1:7" ht="18" customHeight="1" x14ac:dyDescent="0.2">
      <c r="B16" s="17" t="s">
        <v>75</v>
      </c>
      <c r="C16" s="20">
        <v>57</v>
      </c>
      <c r="D16" s="58">
        <v>108000</v>
      </c>
      <c r="E16" s="58">
        <v>950000</v>
      </c>
      <c r="F16" s="62" t="s">
        <v>126</v>
      </c>
    </row>
    <row r="17" spans="2:6" ht="18" customHeight="1" x14ac:dyDescent="0.2">
      <c r="B17" s="24" t="s">
        <v>80</v>
      </c>
      <c r="C17" s="35">
        <v>60</v>
      </c>
      <c r="D17" s="60">
        <v>2160000</v>
      </c>
      <c r="E17" s="60">
        <v>1650000</v>
      </c>
      <c r="F17" s="63" t="s">
        <v>127</v>
      </c>
    </row>
    <row r="18" spans="2:6" ht="18" customHeight="1" x14ac:dyDescent="0.2">
      <c r="B18" s="17" t="s">
        <v>84</v>
      </c>
      <c r="C18" s="20">
        <v>52</v>
      </c>
      <c r="D18" s="58">
        <v>648000</v>
      </c>
      <c r="E18" s="58">
        <v>820000</v>
      </c>
      <c r="F18" s="59" t="s">
        <v>121</v>
      </c>
    </row>
    <row r="19" spans="2:6" ht="18" customHeight="1" x14ac:dyDescent="0.2">
      <c r="B19" s="24" t="s">
        <v>88</v>
      </c>
      <c r="C19" s="35">
        <v>38</v>
      </c>
      <c r="D19" s="60">
        <v>864000</v>
      </c>
      <c r="E19" s="60">
        <v>430000</v>
      </c>
      <c r="F19" s="63" t="s">
        <v>128</v>
      </c>
    </row>
    <row r="20" spans="2:6" ht="18" customHeight="1" x14ac:dyDescent="0.2">
      <c r="B20" s="17" t="s">
        <v>93</v>
      </c>
      <c r="C20" s="20">
        <v>54</v>
      </c>
      <c r="D20" s="58">
        <v>1296000</v>
      </c>
      <c r="E20" s="58">
        <v>1050000</v>
      </c>
      <c r="F20" s="59" t="s">
        <v>121</v>
      </c>
    </row>
    <row r="21" spans="2:6" ht="18" customHeight="1" x14ac:dyDescent="0.2">
      <c r="B21" s="24" t="s">
        <v>96</v>
      </c>
      <c r="C21" s="35">
        <v>59</v>
      </c>
      <c r="D21" s="60">
        <v>1620000</v>
      </c>
      <c r="E21" s="60">
        <v>1450000</v>
      </c>
      <c r="F21" s="61" t="s">
        <v>121</v>
      </c>
    </row>
    <row r="22" spans="2:6" ht="18" customHeight="1" x14ac:dyDescent="0.2">
      <c r="B22" s="17" t="s">
        <v>100</v>
      </c>
      <c r="C22" s="20">
        <v>58</v>
      </c>
      <c r="D22" s="18">
        <v>0</v>
      </c>
      <c r="E22" s="58">
        <v>680000</v>
      </c>
      <c r="F22" s="64" t="s">
        <v>129</v>
      </c>
    </row>
    <row r="23" spans="2:6" ht="18" customHeight="1" x14ac:dyDescent="0.2">
      <c r="B23" s="24" t="s">
        <v>103</v>
      </c>
      <c r="C23" s="35">
        <v>52</v>
      </c>
      <c r="D23" s="60">
        <v>432000</v>
      </c>
      <c r="E23" s="60">
        <v>680000</v>
      </c>
      <c r="F23" s="61" t="s">
        <v>121</v>
      </c>
    </row>
    <row r="24" spans="2:6" ht="18" customHeight="1" x14ac:dyDescent="0.2">
      <c r="B24" s="17" t="s">
        <v>106</v>
      </c>
      <c r="C24" s="20">
        <v>52</v>
      </c>
      <c r="D24" s="58">
        <v>1296000</v>
      </c>
      <c r="E24" s="58">
        <v>870000</v>
      </c>
      <c r="F24" s="63" t="s">
        <v>130</v>
      </c>
    </row>
    <row r="25" spans="2:6" ht="18" customHeight="1" x14ac:dyDescent="0.2">
      <c r="B25" s="24" t="s">
        <v>108</v>
      </c>
      <c r="C25" s="35">
        <v>43</v>
      </c>
      <c r="D25" s="60">
        <v>648000</v>
      </c>
      <c r="E25" s="60">
        <v>430000</v>
      </c>
      <c r="F25" s="61" t="s">
        <v>121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H2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2" customWidth="1"/>
    <col min="2" max="2" width="22" customWidth="1"/>
    <col min="3" max="3" width="12" customWidth="1"/>
    <col min="4" max="4" width="14" customWidth="1"/>
    <col min="5" max="5" width="10" customWidth="1"/>
    <col min="6" max="6" width="14" customWidth="1"/>
    <col min="7" max="7" width="24" customWidth="1"/>
    <col min="8" max="8" width="2" customWidth="1"/>
  </cols>
  <sheetData>
    <row r="1" spans="1:8" ht="7.5" customHeight="1" x14ac:dyDescent="0.2">
      <c r="A1" s="15"/>
      <c r="B1" s="15"/>
      <c r="C1" s="15"/>
      <c r="D1" s="15"/>
      <c r="E1" s="15"/>
      <c r="F1" s="15"/>
      <c r="G1" s="15"/>
      <c r="H1" s="15"/>
    </row>
    <row r="2" spans="1:8" ht="30" customHeight="1" x14ac:dyDescent="0.2">
      <c r="A2" s="15"/>
      <c r="B2" s="4" t="s">
        <v>131</v>
      </c>
      <c r="C2" s="4"/>
      <c r="D2" s="4"/>
      <c r="E2" s="4"/>
      <c r="F2" s="4"/>
      <c r="G2" s="4"/>
      <c r="H2" s="15"/>
    </row>
    <row r="3" spans="1:8" ht="12" customHeight="1" x14ac:dyDescent="0.2">
      <c r="A3" s="15"/>
      <c r="B3" s="15"/>
      <c r="C3" s="15"/>
      <c r="D3" s="15"/>
      <c r="E3" s="15"/>
      <c r="F3" s="15"/>
      <c r="G3" s="15"/>
      <c r="H3" s="15"/>
    </row>
    <row r="4" spans="1:8" ht="9.75" customHeight="1" x14ac:dyDescent="0.2"/>
    <row r="5" spans="1:8" ht="24" customHeight="1" x14ac:dyDescent="0.2">
      <c r="B5" s="40" t="s">
        <v>12</v>
      </c>
      <c r="C5" s="40" t="s">
        <v>132</v>
      </c>
      <c r="D5" s="40" t="s">
        <v>18</v>
      </c>
      <c r="E5" s="40" t="s">
        <v>16</v>
      </c>
      <c r="F5" s="40" t="s">
        <v>133</v>
      </c>
      <c r="G5" s="40" t="s">
        <v>134</v>
      </c>
    </row>
    <row r="6" spans="1:8" ht="18" customHeight="1" x14ac:dyDescent="0.2">
      <c r="B6" s="17" t="s">
        <v>88</v>
      </c>
      <c r="C6" s="32" t="s">
        <v>135</v>
      </c>
      <c r="D6" s="65">
        <v>430000</v>
      </c>
      <c r="E6" s="20">
        <v>38</v>
      </c>
      <c r="F6" s="32" t="s">
        <v>136</v>
      </c>
      <c r="G6" s="66" t="s">
        <v>137</v>
      </c>
    </row>
    <row r="7" spans="1:8" ht="18" customHeight="1" x14ac:dyDescent="0.2">
      <c r="B7" s="24" t="s">
        <v>61</v>
      </c>
      <c r="C7" s="67" t="s">
        <v>138</v>
      </c>
      <c r="D7" s="68">
        <v>2650000</v>
      </c>
      <c r="E7" s="35">
        <v>63</v>
      </c>
      <c r="F7" s="69" t="s">
        <v>139</v>
      </c>
      <c r="G7" s="70" t="s">
        <v>140</v>
      </c>
    </row>
    <row r="8" spans="1:8" ht="18" customHeight="1" x14ac:dyDescent="0.2">
      <c r="B8" s="17" t="s">
        <v>56</v>
      </c>
      <c r="C8" s="67" t="s">
        <v>138</v>
      </c>
      <c r="D8" s="65">
        <v>870000</v>
      </c>
      <c r="E8" s="20">
        <v>52</v>
      </c>
      <c r="F8" s="69" t="s">
        <v>139</v>
      </c>
      <c r="G8" s="66" t="s">
        <v>141</v>
      </c>
    </row>
    <row r="9" spans="1:8" ht="18" customHeight="1" x14ac:dyDescent="0.2">
      <c r="B9" s="24" t="s">
        <v>29</v>
      </c>
      <c r="C9" s="67" t="s">
        <v>138</v>
      </c>
      <c r="D9" s="68">
        <v>850000</v>
      </c>
      <c r="E9" s="35">
        <v>52</v>
      </c>
      <c r="F9" s="71" t="s">
        <v>142</v>
      </c>
      <c r="G9" s="70" t="s">
        <v>143</v>
      </c>
    </row>
    <row r="10" spans="1:8" ht="18" customHeight="1" x14ac:dyDescent="0.2">
      <c r="B10" s="17" t="s">
        <v>66</v>
      </c>
      <c r="C10" s="67" t="s">
        <v>138</v>
      </c>
      <c r="D10" s="65">
        <v>960000</v>
      </c>
      <c r="E10" s="20">
        <v>55</v>
      </c>
      <c r="F10" s="71" t="s">
        <v>142</v>
      </c>
      <c r="G10" s="66" t="s">
        <v>144</v>
      </c>
    </row>
    <row r="11" spans="1:8" ht="18" customHeight="1" x14ac:dyDescent="0.2">
      <c r="B11" s="24" t="s">
        <v>84</v>
      </c>
      <c r="C11" s="67" t="s">
        <v>138</v>
      </c>
      <c r="D11" s="68">
        <v>820000</v>
      </c>
      <c r="E11" s="35">
        <v>52</v>
      </c>
      <c r="F11" s="71" t="s">
        <v>142</v>
      </c>
      <c r="G11" s="70" t="s">
        <v>145</v>
      </c>
    </row>
    <row r="12" spans="1:8" ht="18" customHeight="1" x14ac:dyDescent="0.2">
      <c r="B12" s="17" t="s">
        <v>42</v>
      </c>
      <c r="C12" s="67" t="s">
        <v>138</v>
      </c>
      <c r="D12" s="65">
        <v>780000</v>
      </c>
      <c r="E12" s="20">
        <v>50</v>
      </c>
      <c r="F12" s="71" t="s">
        <v>142</v>
      </c>
      <c r="G12" s="66" t="s">
        <v>146</v>
      </c>
    </row>
    <row r="13" spans="1:8" ht="18" customHeight="1" x14ac:dyDescent="0.2">
      <c r="B13" s="24" t="s">
        <v>46</v>
      </c>
      <c r="C13" s="67" t="s">
        <v>138</v>
      </c>
      <c r="D13" s="68">
        <v>2800000</v>
      </c>
      <c r="E13" s="35">
        <v>65</v>
      </c>
      <c r="F13" s="71" t="s">
        <v>142</v>
      </c>
      <c r="G13" s="70" t="s">
        <v>147</v>
      </c>
    </row>
    <row r="14" spans="1:8" ht="18" customHeight="1" x14ac:dyDescent="0.2">
      <c r="B14" s="17" t="s">
        <v>50</v>
      </c>
      <c r="C14" s="72" t="s">
        <v>148</v>
      </c>
      <c r="D14" s="65">
        <v>1350000</v>
      </c>
      <c r="E14" s="20">
        <v>58</v>
      </c>
      <c r="F14" s="22" t="s">
        <v>149</v>
      </c>
      <c r="G14" s="66" t="s">
        <v>150</v>
      </c>
    </row>
    <row r="15" spans="1:8" ht="18" customHeight="1" x14ac:dyDescent="0.2">
      <c r="B15" s="24" t="s">
        <v>93</v>
      </c>
      <c r="C15" s="72" t="s">
        <v>148</v>
      </c>
      <c r="D15" s="68">
        <v>1050000</v>
      </c>
      <c r="E15" s="35">
        <v>54</v>
      </c>
      <c r="F15" s="22" t="s">
        <v>149</v>
      </c>
      <c r="G15" s="70" t="s">
        <v>151</v>
      </c>
    </row>
    <row r="16" spans="1:8" ht="18" customHeight="1" x14ac:dyDescent="0.2">
      <c r="B16" s="17" t="s">
        <v>36</v>
      </c>
      <c r="C16" s="72" t="s">
        <v>152</v>
      </c>
      <c r="D16" s="65">
        <v>2050000</v>
      </c>
      <c r="E16" s="20">
        <v>71</v>
      </c>
      <c r="F16" s="73" t="s">
        <v>153</v>
      </c>
      <c r="G16" s="66" t="s">
        <v>154</v>
      </c>
    </row>
    <row r="17" spans="2:7" ht="18" customHeight="1" x14ac:dyDescent="0.2">
      <c r="B17" s="24" t="s">
        <v>70</v>
      </c>
      <c r="C17" s="72" t="s">
        <v>155</v>
      </c>
      <c r="D17" s="68">
        <v>2100000</v>
      </c>
      <c r="E17" s="35">
        <v>62</v>
      </c>
      <c r="F17" s="73" t="s">
        <v>153</v>
      </c>
      <c r="G17" s="70" t="s">
        <v>156</v>
      </c>
    </row>
    <row r="18" spans="2:7" ht="18" customHeight="1" x14ac:dyDescent="0.2">
      <c r="B18" s="17" t="s">
        <v>80</v>
      </c>
      <c r="C18" s="72" t="s">
        <v>155</v>
      </c>
      <c r="D18" s="65">
        <v>1650000</v>
      </c>
      <c r="E18" s="20">
        <v>60</v>
      </c>
      <c r="F18" s="73" t="s">
        <v>153</v>
      </c>
      <c r="G18" s="66" t="s">
        <v>157</v>
      </c>
    </row>
    <row r="19" spans="2:7" ht="18" customHeight="1" x14ac:dyDescent="0.2">
      <c r="B19" s="24" t="s">
        <v>75</v>
      </c>
      <c r="C19" s="72" t="s">
        <v>155</v>
      </c>
      <c r="D19" s="68">
        <v>950000</v>
      </c>
      <c r="E19" s="35">
        <v>57</v>
      </c>
      <c r="F19" s="73" t="s">
        <v>153</v>
      </c>
      <c r="G19" s="70" t="s">
        <v>158</v>
      </c>
    </row>
    <row r="20" spans="2:7" ht="18" customHeight="1" x14ac:dyDescent="0.2">
      <c r="B20" s="17" t="s">
        <v>96</v>
      </c>
      <c r="C20" s="72" t="s">
        <v>159</v>
      </c>
      <c r="D20" s="65">
        <v>1450000</v>
      </c>
      <c r="E20" s="20">
        <v>59</v>
      </c>
      <c r="F20" s="73" t="s">
        <v>153</v>
      </c>
      <c r="G20" s="66" t="s">
        <v>160</v>
      </c>
    </row>
    <row r="21" spans="2:7" ht="18" customHeight="1" x14ac:dyDescent="0.2">
      <c r="B21" s="24" t="s">
        <v>22</v>
      </c>
      <c r="C21" s="72" t="s">
        <v>159</v>
      </c>
      <c r="D21" s="68">
        <v>1100000</v>
      </c>
      <c r="E21" s="35">
        <v>68</v>
      </c>
      <c r="F21" s="73" t="s">
        <v>153</v>
      </c>
      <c r="G21" s="70" t="s">
        <v>161</v>
      </c>
    </row>
    <row r="22" spans="2:7" ht="18" customHeight="1" x14ac:dyDescent="0.2">
      <c r="B22" s="17" t="s">
        <v>103</v>
      </c>
      <c r="C22" s="72" t="s">
        <v>155</v>
      </c>
      <c r="D22" s="65">
        <v>680000</v>
      </c>
      <c r="E22" s="20">
        <v>52</v>
      </c>
      <c r="F22" s="73" t="s">
        <v>153</v>
      </c>
      <c r="G22" s="66" t="s">
        <v>162</v>
      </c>
    </row>
    <row r="23" spans="2:7" ht="18" customHeight="1" x14ac:dyDescent="0.2">
      <c r="B23" s="24" t="s">
        <v>106</v>
      </c>
      <c r="C23" s="72" t="s">
        <v>155</v>
      </c>
      <c r="D23" s="68">
        <v>870000</v>
      </c>
      <c r="E23" s="35">
        <v>52</v>
      </c>
      <c r="F23" s="73" t="s">
        <v>153</v>
      </c>
      <c r="G23" s="70" t="s">
        <v>163</v>
      </c>
    </row>
    <row r="24" spans="2:7" ht="18" customHeight="1" x14ac:dyDescent="0.2">
      <c r="B24" s="17" t="s">
        <v>108</v>
      </c>
      <c r="C24" s="67" t="s">
        <v>138</v>
      </c>
      <c r="D24" s="65">
        <v>430000</v>
      </c>
      <c r="E24" s="20">
        <v>43</v>
      </c>
      <c r="F24" s="71" t="s">
        <v>142</v>
      </c>
      <c r="G24" s="66" t="s">
        <v>164</v>
      </c>
    </row>
    <row r="25" spans="2:7" ht="18" customHeight="1" x14ac:dyDescent="0.2">
      <c r="B25" s="24" t="s">
        <v>100</v>
      </c>
      <c r="C25" s="67" t="s">
        <v>138</v>
      </c>
      <c r="D25" s="68">
        <v>680000</v>
      </c>
      <c r="E25" s="35">
        <v>58</v>
      </c>
      <c r="F25" s="74" t="s">
        <v>165</v>
      </c>
      <c r="G25" s="70" t="s">
        <v>166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A1:F31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28" customWidth="1"/>
    <col min="3" max="4" width="14" customWidth="1"/>
    <col min="5" max="5" width="30" customWidth="1"/>
    <col min="6" max="6" width="2" customWidth="1"/>
  </cols>
  <sheetData>
    <row r="1" spans="1:6" ht="7.5" customHeight="1" x14ac:dyDescent="0.2">
      <c r="A1" s="15"/>
      <c r="B1" s="15"/>
      <c r="C1" s="15"/>
      <c r="D1" s="15"/>
      <c r="E1" s="15"/>
      <c r="F1" s="15"/>
    </row>
    <row r="2" spans="1:6" ht="30" customHeight="1" x14ac:dyDescent="0.2">
      <c r="A2" s="15"/>
      <c r="B2" s="4" t="s">
        <v>167</v>
      </c>
      <c r="C2" s="4"/>
      <c r="D2" s="4"/>
      <c r="E2" s="4"/>
      <c r="F2" s="15"/>
    </row>
    <row r="3" spans="1:6" ht="12" customHeight="1" x14ac:dyDescent="0.2">
      <c r="A3" s="15"/>
      <c r="B3" s="15"/>
      <c r="C3" s="15"/>
      <c r="D3" s="15"/>
      <c r="E3" s="15"/>
      <c r="F3" s="15"/>
    </row>
    <row r="4" spans="1:6" ht="9.75" customHeight="1" x14ac:dyDescent="0.2"/>
    <row r="5" spans="1:6" ht="24" customHeight="1" x14ac:dyDescent="0.2">
      <c r="B5" s="40" t="s">
        <v>168</v>
      </c>
      <c r="C5" s="40" t="s">
        <v>169</v>
      </c>
      <c r="D5" s="40" t="s">
        <v>170</v>
      </c>
      <c r="E5" s="40" t="s">
        <v>171</v>
      </c>
    </row>
    <row r="6" spans="1:6" ht="21.75" customHeight="1" x14ac:dyDescent="0.2">
      <c r="B6" s="3" t="s">
        <v>172</v>
      </c>
      <c r="C6" s="3"/>
      <c r="D6" s="3"/>
      <c r="E6" s="3"/>
    </row>
    <row r="7" spans="1:6" ht="18" customHeight="1" x14ac:dyDescent="0.2">
      <c r="B7" s="75" t="s">
        <v>173</v>
      </c>
      <c r="C7" s="76" t="s">
        <v>174</v>
      </c>
      <c r="D7" s="77" t="s">
        <v>175</v>
      </c>
      <c r="E7" s="78" t="s">
        <v>176</v>
      </c>
    </row>
    <row r="8" spans="1:6" ht="18" customHeight="1" x14ac:dyDescent="0.2">
      <c r="B8" s="79" t="s">
        <v>177</v>
      </c>
      <c r="C8" s="80" t="s">
        <v>178</v>
      </c>
      <c r="D8" s="36" t="s">
        <v>179</v>
      </c>
      <c r="E8" s="81" t="s">
        <v>180</v>
      </c>
    </row>
    <row r="9" spans="1:6" ht="18" customHeight="1" x14ac:dyDescent="0.2">
      <c r="B9" s="75" t="s">
        <v>181</v>
      </c>
      <c r="C9" s="76" t="s">
        <v>182</v>
      </c>
      <c r="D9" s="77" t="s">
        <v>183</v>
      </c>
      <c r="E9" s="78" t="s">
        <v>184</v>
      </c>
    </row>
    <row r="10" spans="1:6" ht="18" customHeight="1" x14ac:dyDescent="0.2">
      <c r="B10" s="79" t="s">
        <v>185</v>
      </c>
      <c r="C10" s="80" t="s">
        <v>186</v>
      </c>
      <c r="D10" s="36" t="s">
        <v>187</v>
      </c>
      <c r="E10" s="81" t="s">
        <v>188</v>
      </c>
    </row>
    <row r="11" spans="1:6" ht="18" customHeight="1" x14ac:dyDescent="0.2">
      <c r="B11" s="75" t="s">
        <v>189</v>
      </c>
      <c r="C11" s="76" t="s">
        <v>190</v>
      </c>
      <c r="D11" s="77" t="s">
        <v>191</v>
      </c>
      <c r="E11" s="78" t="s">
        <v>192</v>
      </c>
    </row>
    <row r="12" spans="1:6" ht="18" customHeight="1" x14ac:dyDescent="0.2">
      <c r="B12" s="79" t="s">
        <v>14</v>
      </c>
      <c r="C12" s="80" t="s">
        <v>193</v>
      </c>
      <c r="D12" s="36" t="s">
        <v>191</v>
      </c>
      <c r="E12" s="81" t="s">
        <v>194</v>
      </c>
    </row>
    <row r="13" spans="1:6" ht="18" customHeight="1" x14ac:dyDescent="0.2">
      <c r="B13" s="75" t="s">
        <v>195</v>
      </c>
      <c r="C13" s="76" t="s">
        <v>196</v>
      </c>
      <c r="D13" s="77" t="s">
        <v>197</v>
      </c>
      <c r="E13" s="78" t="s">
        <v>198</v>
      </c>
    </row>
    <row r="15" spans="1:6" ht="21.75" customHeight="1" x14ac:dyDescent="0.2">
      <c r="B15" s="2" t="s">
        <v>199</v>
      </c>
      <c r="C15" s="2"/>
      <c r="D15" s="2"/>
      <c r="E15" s="2"/>
    </row>
    <row r="16" spans="1:6" ht="18" customHeight="1" x14ac:dyDescent="0.2">
      <c r="B16" s="75" t="s">
        <v>200</v>
      </c>
      <c r="C16" s="76" t="s">
        <v>201</v>
      </c>
      <c r="D16" s="77" t="s">
        <v>34</v>
      </c>
      <c r="E16" s="78" t="s">
        <v>202</v>
      </c>
    </row>
    <row r="17" spans="2:5" ht="18" customHeight="1" x14ac:dyDescent="0.2">
      <c r="B17" s="79" t="s">
        <v>203</v>
      </c>
      <c r="C17" s="80" t="s">
        <v>204</v>
      </c>
      <c r="D17" s="36" t="s">
        <v>34</v>
      </c>
      <c r="E17" s="81" t="s">
        <v>205</v>
      </c>
    </row>
    <row r="18" spans="2:5" ht="18" customHeight="1" x14ac:dyDescent="0.2">
      <c r="B18" s="75" t="s">
        <v>206</v>
      </c>
      <c r="C18" s="76" t="s">
        <v>207</v>
      </c>
      <c r="D18" s="77" t="s">
        <v>34</v>
      </c>
      <c r="E18" s="78" t="s">
        <v>208</v>
      </c>
    </row>
    <row r="20" spans="2:5" ht="21.75" customHeight="1" x14ac:dyDescent="0.2">
      <c r="B20" s="1" t="s">
        <v>209</v>
      </c>
      <c r="C20" s="1"/>
      <c r="D20" s="1"/>
      <c r="E20" s="1"/>
    </row>
    <row r="21" spans="2:5" ht="18" customHeight="1" x14ac:dyDescent="0.2">
      <c r="B21" s="75" t="s">
        <v>210</v>
      </c>
      <c r="C21" s="76" t="s">
        <v>211</v>
      </c>
      <c r="D21" s="77" t="s">
        <v>212</v>
      </c>
      <c r="E21" s="78" t="s">
        <v>213</v>
      </c>
    </row>
    <row r="22" spans="2:5" ht="18" customHeight="1" x14ac:dyDescent="0.2">
      <c r="B22" s="79" t="s">
        <v>214</v>
      </c>
      <c r="C22" s="80" t="s">
        <v>215</v>
      </c>
      <c r="D22" s="36" t="s">
        <v>212</v>
      </c>
      <c r="E22" s="81" t="s">
        <v>216</v>
      </c>
    </row>
    <row r="23" spans="2:5" ht="18" customHeight="1" x14ac:dyDescent="0.2">
      <c r="B23" s="75" t="s">
        <v>217</v>
      </c>
      <c r="C23" s="76" t="s">
        <v>218</v>
      </c>
      <c r="D23" s="77" t="s">
        <v>212</v>
      </c>
      <c r="E23" s="78" t="s">
        <v>219</v>
      </c>
    </row>
    <row r="24" spans="2:5" ht="18" customHeight="1" x14ac:dyDescent="0.2">
      <c r="B24" s="79" t="s">
        <v>220</v>
      </c>
      <c r="C24" s="80" t="s">
        <v>221</v>
      </c>
      <c r="D24" s="36" t="s">
        <v>212</v>
      </c>
      <c r="E24" s="81" t="s">
        <v>222</v>
      </c>
    </row>
    <row r="25" spans="2:5" ht="18" customHeight="1" x14ac:dyDescent="0.2">
      <c r="B25" s="75" t="s">
        <v>223</v>
      </c>
      <c r="C25" s="76" t="s">
        <v>224</v>
      </c>
      <c r="D25" s="77" t="s">
        <v>225</v>
      </c>
      <c r="E25" s="78" t="s">
        <v>226</v>
      </c>
    </row>
    <row r="26" spans="2:5" ht="18" customHeight="1" x14ac:dyDescent="0.2">
      <c r="B26" s="79" t="s">
        <v>227</v>
      </c>
      <c r="C26" s="80" t="s">
        <v>228</v>
      </c>
      <c r="D26" s="36" t="s">
        <v>225</v>
      </c>
      <c r="E26" s="81" t="s">
        <v>229</v>
      </c>
    </row>
    <row r="28" spans="2:5" ht="21.75" customHeight="1" x14ac:dyDescent="0.2">
      <c r="B28" s="96" t="s">
        <v>230</v>
      </c>
      <c r="C28" s="96"/>
      <c r="D28" s="96"/>
      <c r="E28" s="96"/>
    </row>
    <row r="29" spans="2:5" ht="18" customHeight="1" x14ac:dyDescent="0.2">
      <c r="B29" s="75" t="s">
        <v>231</v>
      </c>
      <c r="C29" s="76" t="s">
        <v>232</v>
      </c>
      <c r="D29" s="77" t="s">
        <v>34</v>
      </c>
      <c r="E29" s="78" t="s">
        <v>233</v>
      </c>
    </row>
    <row r="30" spans="2:5" ht="18" customHeight="1" x14ac:dyDescent="0.2">
      <c r="B30" s="79" t="s">
        <v>234</v>
      </c>
      <c r="C30" s="80" t="s">
        <v>235</v>
      </c>
      <c r="D30" s="36" t="s">
        <v>34</v>
      </c>
      <c r="E30" s="81" t="s">
        <v>236</v>
      </c>
    </row>
    <row r="31" spans="2:5" ht="18" customHeight="1" x14ac:dyDescent="0.2">
      <c r="B31" s="75" t="s">
        <v>237</v>
      </c>
      <c r="C31" s="76" t="s">
        <v>238</v>
      </c>
      <c r="D31" s="77" t="s">
        <v>34</v>
      </c>
      <c r="E31" s="78" t="s">
        <v>239</v>
      </c>
    </row>
  </sheetData>
  <mergeCells count="5">
    <mergeCell ref="B2:E2"/>
    <mergeCell ref="B6:E6"/>
    <mergeCell ref="B15:E15"/>
    <mergeCell ref="B20:E20"/>
    <mergeCell ref="B28:E2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5A11"/>
  </sheetPr>
  <dimension ref="A1:E15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16" customWidth="1"/>
    <col min="3" max="3" width="40" customWidth="1"/>
    <col min="4" max="4" width="30" customWidth="1"/>
    <col min="5" max="5" width="2" customWidth="1"/>
  </cols>
  <sheetData>
    <row r="1" spans="1:5" ht="7.5" customHeight="1" x14ac:dyDescent="0.2">
      <c r="A1" s="15"/>
      <c r="B1" s="15"/>
      <c r="C1" s="15"/>
      <c r="D1" s="15"/>
      <c r="E1" s="15"/>
    </row>
    <row r="2" spans="1:5" ht="30" customHeight="1" x14ac:dyDescent="0.2">
      <c r="A2" s="15"/>
      <c r="B2" s="4" t="s">
        <v>240</v>
      </c>
      <c r="C2" s="4"/>
      <c r="D2" s="4"/>
      <c r="E2" s="15"/>
    </row>
    <row r="3" spans="1:5" ht="12" customHeight="1" x14ac:dyDescent="0.2">
      <c r="A3" s="15"/>
      <c r="B3" s="15"/>
      <c r="C3" s="15"/>
      <c r="D3" s="15"/>
      <c r="E3" s="15"/>
    </row>
    <row r="4" spans="1:5" ht="9.75" customHeight="1" x14ac:dyDescent="0.2"/>
    <row r="5" spans="1:5" ht="24" customHeight="1" x14ac:dyDescent="0.2">
      <c r="B5" s="40" t="s">
        <v>14</v>
      </c>
      <c r="C5" s="40" t="s">
        <v>241</v>
      </c>
      <c r="D5" s="40" t="s">
        <v>242</v>
      </c>
    </row>
    <row r="6" spans="1:5" ht="24" customHeight="1" x14ac:dyDescent="0.2">
      <c r="B6" s="82" t="s">
        <v>37</v>
      </c>
      <c r="C6" s="76" t="s">
        <v>243</v>
      </c>
      <c r="D6" s="83" t="s">
        <v>244</v>
      </c>
    </row>
    <row r="7" spans="1:5" ht="24" customHeight="1" x14ac:dyDescent="0.2">
      <c r="B7" s="84" t="s">
        <v>23</v>
      </c>
      <c r="C7" s="85" t="s">
        <v>245</v>
      </c>
      <c r="D7" s="83" t="s">
        <v>246</v>
      </c>
    </row>
    <row r="8" spans="1:5" ht="24" customHeight="1" x14ac:dyDescent="0.2">
      <c r="B8" s="86" t="s">
        <v>247</v>
      </c>
      <c r="C8" s="87" t="s">
        <v>248</v>
      </c>
      <c r="D8" s="83" t="s">
        <v>249</v>
      </c>
    </row>
    <row r="9" spans="1:5" ht="24" customHeight="1" x14ac:dyDescent="0.2">
      <c r="B9" s="88" t="s">
        <v>30</v>
      </c>
      <c r="C9" s="89" t="s">
        <v>250</v>
      </c>
      <c r="D9" s="83" t="s">
        <v>251</v>
      </c>
    </row>
    <row r="10" spans="1:5" ht="24" customHeight="1" x14ac:dyDescent="0.2">
      <c r="B10" s="90" t="s">
        <v>57</v>
      </c>
      <c r="C10" s="91" t="s">
        <v>252</v>
      </c>
      <c r="D10" s="83" t="s">
        <v>253</v>
      </c>
    </row>
    <row r="11" spans="1:5" ht="24" customHeight="1" x14ac:dyDescent="0.2">
      <c r="B11" s="92" t="s">
        <v>62</v>
      </c>
      <c r="C11" s="93" t="s">
        <v>254</v>
      </c>
      <c r="D11" s="83" t="s">
        <v>255</v>
      </c>
    </row>
    <row r="12" spans="1:5" ht="24" customHeight="1" x14ac:dyDescent="0.2">
      <c r="B12" s="94" t="s">
        <v>71</v>
      </c>
      <c r="C12" s="95" t="s">
        <v>256</v>
      </c>
      <c r="D12" s="83" t="s">
        <v>257</v>
      </c>
    </row>
    <row r="14" spans="1:5" ht="9.75" customHeight="1" x14ac:dyDescent="0.2"/>
    <row r="15" spans="1:5" ht="21.75" customHeight="1" x14ac:dyDescent="0.2">
      <c r="B15" s="97" t="s">
        <v>258</v>
      </c>
      <c r="C15" s="97"/>
      <c r="D15" s="97"/>
    </row>
  </sheetData>
  <mergeCells count="2">
    <mergeCell ref="B2:D2"/>
    <mergeCell ref="B15:D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Ranking</vt:lpstr>
      <vt:lpstr>TM vs Modelo</vt:lpstr>
      <vt:lpstr>Riesgo Contrato</vt:lpstr>
      <vt:lpstr>Algoritmo v3</vt:lpstr>
      <vt:lpstr>Perf por Posición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Fernando Espejo</cp:lastModifiedBy>
  <cp:revision>0</cp:revision>
  <dcterms:created xsi:type="dcterms:W3CDTF">2026-03-27T00:19:23Z</dcterms:created>
  <dcterms:modified xsi:type="dcterms:W3CDTF">2026-03-27T00:29:16Z</dcterms:modified>
  <dc:language>en-US</dc:language>
</cp:coreProperties>
</file>