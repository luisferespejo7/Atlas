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RL-11603\Desktop\REQUISICIONES\"/>
    </mc:Choice>
  </mc:AlternateContent>
  <xr:revisionPtr revIDLastSave="0" documentId="8_{650CBA1E-CD61-4A9F-8776-1B70E6A1B7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MENIL" sheetId="3" r:id="rId1"/>
  </sheets>
  <definedNames>
    <definedName name="_xlnm._FilterDatabase" localSheetId="0" hidden="1">FEMENIL!$B$3:$J$22</definedName>
    <definedName name="_xlnm.Print_Area" localSheetId="0">FEMENIL!#REF!</definedName>
  </definedNames>
  <calcPr calcId="191029"/>
</workbook>
</file>

<file path=xl/calcChain.xml><?xml version="1.0" encoding="utf-8"?>
<calcChain xmlns="http://schemas.openxmlformats.org/spreadsheetml/2006/main">
  <c r="H46" i="3" l="1"/>
  <c r="H47" i="3" s="1"/>
  <c r="G46" i="3"/>
  <c r="G47" i="3" s="1"/>
  <c r="F46" i="3"/>
  <c r="F47" i="3" s="1"/>
  <c r="J36" i="3"/>
  <c r="J38" i="3" s="1"/>
  <c r="I36" i="3"/>
  <c r="I38" i="3" s="1"/>
  <c r="H36" i="3"/>
  <c r="H38" i="3" s="1"/>
  <c r="G36" i="3"/>
  <c r="G38" i="3" s="1"/>
  <c r="F36" i="3"/>
  <c r="F38" i="3" s="1"/>
  <c r="F48" i="3" l="1"/>
  <c r="G48" i="3"/>
  <c r="H48" i="3"/>
  <c r="G49" i="3" l="1"/>
</calcChain>
</file>

<file path=xl/sharedStrings.xml><?xml version="1.0" encoding="utf-8"?>
<sst xmlns="http://schemas.openxmlformats.org/spreadsheetml/2006/main" count="111" uniqueCount="51">
  <si>
    <t>NOMBRE</t>
  </si>
  <si>
    <t>F. NAC</t>
  </si>
  <si>
    <t>POSICION</t>
  </si>
  <si>
    <t>MEDIO</t>
  </si>
  <si>
    <t>DELANTERO</t>
  </si>
  <si>
    <t>PORTERO</t>
  </si>
  <si>
    <t>DEFENSA</t>
  </si>
  <si>
    <t>FM/NFM</t>
  </si>
  <si>
    <t>FM</t>
  </si>
  <si>
    <t>NFM</t>
  </si>
  <si>
    <t>CL24</t>
  </si>
  <si>
    <t>CL25</t>
  </si>
  <si>
    <t>AP24</t>
  </si>
  <si>
    <t>AP25</t>
  </si>
  <si>
    <t>CL26</t>
  </si>
  <si>
    <t>DT</t>
  </si>
  <si>
    <t>AX</t>
  </si>
  <si>
    <t>PF</t>
  </si>
  <si>
    <t>Jugadoras</t>
  </si>
  <si>
    <t>CT</t>
  </si>
  <si>
    <t>VALERIA SARAHÍ GONZALEZ</t>
  </si>
  <si>
    <t>FERNANDA PEREZ LIMON</t>
  </si>
  <si>
    <t>BRENDA CEREN</t>
  </si>
  <si>
    <t>DANIELA CRUZ</t>
  </si>
  <si>
    <t>MARITZA MALDONADO</t>
  </si>
  <si>
    <t>ANDREA GARCIA</t>
  </si>
  <si>
    <t>ALEXA CURIEL</t>
  </si>
  <si>
    <t>ALEJANDRA LOMELÍ</t>
  </si>
  <si>
    <t>DANIELA MEZA</t>
  </si>
  <si>
    <t>VALERIA RAZO</t>
  </si>
  <si>
    <t>MARIA PAULA SALAS</t>
  </si>
  <si>
    <t>CAMILA VAZQUEZ</t>
  </si>
  <si>
    <t>ASHLEY LOPEZ</t>
  </si>
  <si>
    <t>KAYLA FERNANDEZ</t>
  </si>
  <si>
    <t>VALERIA MIRANDA</t>
  </si>
  <si>
    <t>SELENE CORTES</t>
  </si>
  <si>
    <t>MIROSLAVA MAPRIGAT</t>
  </si>
  <si>
    <t>LITZY SERNA</t>
  </si>
  <si>
    <t>MARIANA ACEVES</t>
  </si>
  <si>
    <t>JETZUVELY GONZALEZ</t>
  </si>
  <si>
    <t>DANIELA SOLERA</t>
  </si>
  <si>
    <t>PAOLA GARCIA</t>
  </si>
  <si>
    <t>MARIA ELENA SAINZ</t>
  </si>
  <si>
    <t>JAQUELIN GARCIA</t>
  </si>
  <si>
    <t>KAROL CONTRERAS</t>
  </si>
  <si>
    <t>NOHEMI GRANADOS</t>
  </si>
  <si>
    <t xml:space="preserve"> </t>
  </si>
  <si>
    <t>KAREN FLORES</t>
  </si>
  <si>
    <t>DIRCE DELGADO</t>
  </si>
  <si>
    <t>ALEXA HUERTA</t>
  </si>
  <si>
    <t xml:space="preserve">VANESA SANCHEZ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</si>
</sst>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name val="Century Gothic"/>
      <family val="1"/>
    </font>
    <font>
      <sz val="11"/>
      <color theme="1"/>
      <name val="Calibri"/>
      <family val="2"/>
      <scheme val="minor"/>
    </font>
    <font>
      <sz val="8"/>
      <name val="Century Gothic"/>
      <family val="1"/>
    </font>
    <font>
      <b/>
      <sz val="11"/>
      <name val="Century Gothic"/>
      <family val="1"/>
    </font>
    <font>
      <b/>
      <sz val="12"/>
      <name val="Century Gothic"/>
      <family val="1"/>
    </font>
    <font>
      <sz val="8"/>
      <color theme="0"/>
      <name val="Century Gothic"/>
      <family val="1"/>
    </font>
    <font>
      <sz val="9"/>
      <name val="Century Gothic"/>
      <family val="1"/>
    </font>
    <font>
      <sz val="11"/>
      <color theme="1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6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5" fontId="3" fillId="0" borderId="0" xfId="0" applyNumberFormat="1" applyFont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/>
    </xf>
    <xf numFmtId="165" fontId="5" fillId="0" borderId="0" xfId="0" applyNumberFormat="1" applyFont="1" applyAlignment="1">
      <alignment horizontal="right"/>
    </xf>
    <xf numFmtId="165" fontId="5" fillId="0" borderId="0" xfId="0" applyNumberFormat="1" applyFont="1" applyAlignment="1">
      <alignment horizontal="left"/>
    </xf>
    <xf numFmtId="165" fontId="5" fillId="0" borderId="0" xfId="1" applyNumberFormat="1" applyFont="1" applyAlignment="1">
      <alignment horizontal="right"/>
    </xf>
    <xf numFmtId="165" fontId="5" fillId="0" borderId="2" xfId="0" applyNumberFormat="1" applyFont="1" applyBorder="1" applyAlignment="1">
      <alignment horizontal="left"/>
    </xf>
    <xf numFmtId="0" fontId="6" fillId="0" borderId="0" xfId="0" applyFont="1" applyAlignment="1">
      <alignment horizontal="left"/>
    </xf>
    <xf numFmtId="165" fontId="1" fillId="0" borderId="1" xfId="1" applyNumberFormat="1" applyFont="1" applyFill="1" applyBorder="1" applyAlignment="1">
      <alignment horizontal="right"/>
    </xf>
    <xf numFmtId="165" fontId="1" fillId="0" borderId="0" xfId="0" applyNumberFormat="1" applyFont="1"/>
    <xf numFmtId="0" fontId="1" fillId="0" borderId="0" xfId="0" applyFont="1" applyAlignment="1">
      <alignment horizontal="left" vertical="center"/>
    </xf>
    <xf numFmtId="1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/>
    </xf>
    <xf numFmtId="165" fontId="1" fillId="0" borderId="0" xfId="1" applyNumberFormat="1" applyFont="1" applyFill="1" applyBorder="1" applyAlignment="1">
      <alignment horizontal="right"/>
    </xf>
    <xf numFmtId="165" fontId="7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5" fontId="1" fillId="0" borderId="1" xfId="1" applyNumberFormat="1" applyFont="1" applyFill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1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65" fontId="1" fillId="0" borderId="1" xfId="0" applyNumberFormat="1" applyFont="1" applyBorder="1"/>
    <xf numFmtId="0" fontId="8" fillId="2" borderId="1" xfId="0" applyFont="1" applyFill="1" applyBorder="1" applyAlignment="1">
      <alignment horizontal="left" vertical="center"/>
    </xf>
    <xf numFmtId="15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165" fontId="8" fillId="2" borderId="1" xfId="0" applyNumberFormat="1" applyFont="1" applyFill="1" applyBorder="1"/>
    <xf numFmtId="165" fontId="8" fillId="2" borderId="1" xfId="1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left" vertical="center"/>
    </xf>
    <xf numFmtId="15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165" fontId="1" fillId="2" borderId="1" xfId="0" applyNumberFormat="1" applyFont="1" applyFill="1" applyBorder="1"/>
    <xf numFmtId="165" fontId="1" fillId="2" borderId="1" xfId="1" applyNumberFormat="1" applyFont="1" applyFill="1" applyBorder="1" applyAlignment="1">
      <alignment horizontal="right"/>
    </xf>
    <xf numFmtId="0" fontId="1" fillId="3" borderId="1" xfId="0" applyFont="1" applyFill="1" applyBorder="1" applyAlignment="1">
      <alignment horizontal="left" vertical="center"/>
    </xf>
    <xf numFmtId="15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165" fontId="1" fillId="3" borderId="1" xfId="0" applyNumberFormat="1" applyFont="1" applyFill="1" applyBorder="1"/>
    <xf numFmtId="165" fontId="1" fillId="3" borderId="1" xfId="1" applyNumberFormat="1" applyFont="1" applyFill="1" applyBorder="1" applyAlignment="1">
      <alignment horizontal="right"/>
    </xf>
    <xf numFmtId="165" fontId="1" fillId="3" borderId="0" xfId="0" applyNumberFormat="1" applyFont="1" applyFill="1"/>
    <xf numFmtId="0" fontId="1" fillId="3" borderId="0" xfId="0" applyFont="1" applyFill="1"/>
    <xf numFmtId="0" fontId="8" fillId="3" borderId="1" xfId="0" applyFont="1" applyFill="1" applyBorder="1" applyAlignment="1">
      <alignment horizontal="left" vertical="center"/>
    </xf>
    <xf numFmtId="15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left"/>
    </xf>
    <xf numFmtId="165" fontId="8" fillId="3" borderId="1" xfId="0" applyNumberFormat="1" applyFont="1" applyFill="1" applyBorder="1"/>
    <xf numFmtId="165" fontId="8" fillId="3" borderId="1" xfId="1" applyNumberFormat="1" applyFont="1" applyFill="1" applyBorder="1" applyAlignment="1">
      <alignment horizontal="right"/>
    </xf>
    <xf numFmtId="0" fontId="1" fillId="4" borderId="1" xfId="0" applyFont="1" applyFill="1" applyBorder="1" applyAlignment="1">
      <alignment horizontal="left" vertical="center"/>
    </xf>
    <xf numFmtId="15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165" fontId="1" fillId="4" borderId="1" xfId="0" applyNumberFormat="1" applyFont="1" applyFill="1" applyBorder="1"/>
    <xf numFmtId="165" fontId="1" fillId="4" borderId="1" xfId="1" applyNumberFormat="1" applyFont="1" applyFill="1" applyBorder="1" applyAlignment="1">
      <alignment horizontal="right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86CB5-E0F4-40D7-86DE-2B2AC1D4EAEC}">
  <sheetPr>
    <pageSetUpPr fitToPage="1"/>
  </sheetPr>
  <dimension ref="B1:XEZ49"/>
  <sheetViews>
    <sheetView showGridLines="0" tabSelected="1" zoomScale="89" zoomScaleNormal="89" workbookViewId="0">
      <selection activeCell="E30" sqref="E30"/>
    </sheetView>
  </sheetViews>
  <sheetFormatPr baseColWidth="10" defaultColWidth="21.85546875" defaultRowHeight="16.5" x14ac:dyDescent="0.3"/>
  <cols>
    <col min="1" max="1" width="16.7109375" style="1" customWidth="1"/>
    <col min="2" max="2" width="29.42578125" style="1" bestFit="1" customWidth="1"/>
    <col min="3" max="4" width="13.28515625" style="1" customWidth="1"/>
    <col min="5" max="5" width="13.28515625" style="3" customWidth="1"/>
    <col min="6" max="6" width="13.28515625" style="3" hidden="1" customWidth="1"/>
    <col min="7" max="10" width="13.28515625" style="3" customWidth="1"/>
    <col min="11" max="11" width="13.28515625" style="1" customWidth="1"/>
    <col min="12" max="16384" width="21.85546875" style="1"/>
  </cols>
  <sheetData>
    <row r="1" spans="2:12" x14ac:dyDescent="0.3">
      <c r="C1" s="2"/>
      <c r="D1" s="2"/>
    </row>
    <row r="2" spans="2:12" x14ac:dyDescent="0.3">
      <c r="C2" s="2"/>
      <c r="D2" s="2"/>
    </row>
    <row r="3" spans="2:12" x14ac:dyDescent="0.3">
      <c r="B3" s="4" t="s">
        <v>0</v>
      </c>
      <c r="C3" s="5" t="s">
        <v>1</v>
      </c>
      <c r="D3" s="5" t="s">
        <v>2</v>
      </c>
      <c r="E3" s="7" t="s">
        <v>7</v>
      </c>
      <c r="F3" s="5" t="s">
        <v>10</v>
      </c>
      <c r="G3" s="5" t="s">
        <v>12</v>
      </c>
      <c r="H3" s="5" t="s">
        <v>11</v>
      </c>
      <c r="I3" s="5" t="s">
        <v>13</v>
      </c>
      <c r="J3" s="5" t="s">
        <v>14</v>
      </c>
    </row>
    <row r="4" spans="2:12" s="48" customFormat="1" x14ac:dyDescent="0.3">
      <c r="B4" s="41" t="s">
        <v>30</v>
      </c>
      <c r="C4" s="42">
        <v>37449</v>
      </c>
      <c r="D4" s="43" t="s">
        <v>4</v>
      </c>
      <c r="E4" s="44" t="s">
        <v>9</v>
      </c>
      <c r="F4" s="45">
        <v>65000</v>
      </c>
      <c r="G4" s="46">
        <v>65000</v>
      </c>
      <c r="H4" s="46">
        <v>70000</v>
      </c>
      <c r="I4" s="46">
        <v>70000</v>
      </c>
      <c r="J4" s="46">
        <v>70000</v>
      </c>
    </row>
    <row r="5" spans="2:12" s="48" customFormat="1" x14ac:dyDescent="0.3">
      <c r="B5" s="41" t="s">
        <v>40</v>
      </c>
      <c r="C5" s="42">
        <v>35632</v>
      </c>
      <c r="D5" s="43" t="s">
        <v>5</v>
      </c>
      <c r="E5" s="44" t="s">
        <v>9</v>
      </c>
      <c r="F5" s="45">
        <v>35000</v>
      </c>
      <c r="G5" s="46">
        <v>50000</v>
      </c>
      <c r="H5" s="46">
        <v>50000</v>
      </c>
      <c r="I5" s="46"/>
      <c r="J5" s="46"/>
    </row>
    <row r="6" spans="2:12" x14ac:dyDescent="0.3">
      <c r="B6" s="24" t="s">
        <v>24</v>
      </c>
      <c r="C6" s="25">
        <v>37402</v>
      </c>
      <c r="D6" s="26" t="s">
        <v>3</v>
      </c>
      <c r="E6" s="27" t="s">
        <v>8</v>
      </c>
      <c r="F6" s="28">
        <v>35000</v>
      </c>
      <c r="G6" s="15">
        <v>35000</v>
      </c>
      <c r="H6" s="15">
        <v>42000</v>
      </c>
      <c r="I6" s="15">
        <v>42000</v>
      </c>
      <c r="J6" s="15">
        <v>45000</v>
      </c>
    </row>
    <row r="7" spans="2:12" x14ac:dyDescent="0.3">
      <c r="B7" s="24" t="s">
        <v>22</v>
      </c>
      <c r="C7" s="25">
        <v>36062</v>
      </c>
      <c r="D7" s="26" t="s">
        <v>4</v>
      </c>
      <c r="E7" s="27" t="s">
        <v>9</v>
      </c>
      <c r="F7" s="28">
        <v>40000</v>
      </c>
      <c r="G7" s="15">
        <v>40000</v>
      </c>
      <c r="H7" s="15">
        <v>40000</v>
      </c>
      <c r="I7" s="15">
        <v>40000</v>
      </c>
      <c r="J7" s="15">
        <v>40000</v>
      </c>
      <c r="K7" s="16"/>
    </row>
    <row r="8" spans="2:12" x14ac:dyDescent="0.3">
      <c r="B8" s="24" t="s">
        <v>33</v>
      </c>
      <c r="C8" s="25">
        <v>36991</v>
      </c>
      <c r="D8" s="26" t="s">
        <v>3</v>
      </c>
      <c r="E8" s="27" t="s">
        <v>8</v>
      </c>
      <c r="F8" s="28">
        <v>44000</v>
      </c>
      <c r="G8" s="28">
        <v>44000</v>
      </c>
      <c r="H8" s="15">
        <v>50000</v>
      </c>
      <c r="I8" s="15">
        <v>50000</v>
      </c>
      <c r="J8" s="15"/>
      <c r="K8" s="16"/>
    </row>
    <row r="9" spans="2:12" x14ac:dyDescent="0.3">
      <c r="B9" s="24" t="s">
        <v>31</v>
      </c>
      <c r="C9" s="25">
        <v>39280</v>
      </c>
      <c r="D9" s="26" t="s">
        <v>5</v>
      </c>
      <c r="E9" s="27" t="s">
        <v>8</v>
      </c>
      <c r="F9" s="28">
        <v>16500</v>
      </c>
      <c r="G9" s="15">
        <v>22000</v>
      </c>
      <c r="H9" s="15">
        <v>27500</v>
      </c>
      <c r="I9" s="15">
        <v>27500</v>
      </c>
      <c r="J9" s="15"/>
      <c r="K9" s="16"/>
    </row>
    <row r="10" spans="2:12" x14ac:dyDescent="0.3">
      <c r="B10" s="24" t="s">
        <v>32</v>
      </c>
      <c r="C10" s="25">
        <v>38175</v>
      </c>
      <c r="D10" s="26" t="s">
        <v>3</v>
      </c>
      <c r="E10" s="27" t="s">
        <v>8</v>
      </c>
      <c r="F10" s="28">
        <v>8000</v>
      </c>
      <c r="G10" s="15">
        <v>8000</v>
      </c>
      <c r="H10" s="15">
        <v>8000</v>
      </c>
      <c r="I10" s="15">
        <v>8000</v>
      </c>
      <c r="J10" s="15"/>
      <c r="K10" s="16"/>
    </row>
    <row r="11" spans="2:12" x14ac:dyDescent="0.3">
      <c r="B11" s="24" t="s">
        <v>21</v>
      </c>
      <c r="C11" s="25">
        <v>34711</v>
      </c>
      <c r="D11" s="26" t="s">
        <v>6</v>
      </c>
      <c r="E11" s="27" t="s">
        <v>8</v>
      </c>
      <c r="F11" s="28">
        <v>35000</v>
      </c>
      <c r="G11" s="15">
        <v>35000</v>
      </c>
      <c r="H11" s="23">
        <v>35000</v>
      </c>
      <c r="I11" s="15"/>
      <c r="J11" s="15"/>
      <c r="K11" s="16"/>
    </row>
    <row r="12" spans="2:12" x14ac:dyDescent="0.3">
      <c r="B12" s="24" t="s">
        <v>29</v>
      </c>
      <c r="C12" s="25">
        <v>37517</v>
      </c>
      <c r="D12" s="26" t="s">
        <v>3</v>
      </c>
      <c r="E12" s="27" t="s">
        <v>8</v>
      </c>
      <c r="F12" s="28">
        <v>28000</v>
      </c>
      <c r="G12" s="15">
        <v>28000</v>
      </c>
      <c r="H12" s="15">
        <v>28000</v>
      </c>
      <c r="I12" s="15"/>
      <c r="J12" s="15"/>
      <c r="K12" s="16"/>
    </row>
    <row r="13" spans="2:12" x14ac:dyDescent="0.3">
      <c r="B13" s="24" t="s">
        <v>27</v>
      </c>
      <c r="C13" s="25">
        <v>38168</v>
      </c>
      <c r="D13" s="26" t="s">
        <v>3</v>
      </c>
      <c r="E13" s="27" t="s">
        <v>8</v>
      </c>
      <c r="F13" s="15">
        <v>20000</v>
      </c>
      <c r="G13" s="15">
        <v>20000</v>
      </c>
      <c r="H13" s="15">
        <v>25000</v>
      </c>
      <c r="I13" s="15"/>
      <c r="J13" s="15"/>
      <c r="K13" s="16"/>
    </row>
    <row r="14" spans="2:12" x14ac:dyDescent="0.3">
      <c r="B14" s="24" t="s">
        <v>41</v>
      </c>
      <c r="C14" s="25">
        <v>38075</v>
      </c>
      <c r="D14" s="26" t="s">
        <v>4</v>
      </c>
      <c r="E14" s="27" t="s">
        <v>8</v>
      </c>
      <c r="F14" s="28">
        <v>22000</v>
      </c>
      <c r="G14" s="15">
        <v>22000</v>
      </c>
      <c r="H14" s="15">
        <v>22000</v>
      </c>
      <c r="I14" s="15"/>
      <c r="J14" s="15"/>
      <c r="K14" s="16"/>
      <c r="L14" s="16"/>
    </row>
    <row r="15" spans="2:12" x14ac:dyDescent="0.3">
      <c r="B15" s="24" t="s">
        <v>26</v>
      </c>
      <c r="C15" s="25">
        <v>38091</v>
      </c>
      <c r="D15" s="26" t="s">
        <v>3</v>
      </c>
      <c r="E15" s="27" t="s">
        <v>8</v>
      </c>
      <c r="F15" s="15">
        <v>12500</v>
      </c>
      <c r="G15" s="15">
        <v>15000</v>
      </c>
      <c r="H15" s="15"/>
      <c r="I15" s="15"/>
      <c r="J15" s="15"/>
      <c r="K15" s="16"/>
    </row>
    <row r="16" spans="2:12" x14ac:dyDescent="0.3">
      <c r="B16" s="24" t="s">
        <v>28</v>
      </c>
      <c r="C16" s="25">
        <v>38411</v>
      </c>
      <c r="D16" s="26" t="s">
        <v>6</v>
      </c>
      <c r="E16" s="27" t="s">
        <v>8</v>
      </c>
      <c r="F16" s="15">
        <v>10000</v>
      </c>
      <c r="G16" s="15">
        <v>15000</v>
      </c>
      <c r="H16" s="15">
        <v>15000</v>
      </c>
      <c r="I16" s="15"/>
      <c r="J16" s="15"/>
      <c r="K16" s="16"/>
      <c r="L16" s="16"/>
    </row>
    <row r="17" spans="2:12" x14ac:dyDescent="0.3">
      <c r="B17" s="24" t="s">
        <v>20</v>
      </c>
      <c r="C17" s="25">
        <v>38413</v>
      </c>
      <c r="D17" s="26" t="s">
        <v>3</v>
      </c>
      <c r="E17" s="27" t="s">
        <v>8</v>
      </c>
      <c r="F17" s="15">
        <v>8000</v>
      </c>
      <c r="G17" s="15">
        <v>8000</v>
      </c>
      <c r="H17" s="15">
        <v>8000</v>
      </c>
      <c r="I17" s="15"/>
      <c r="J17" s="15"/>
      <c r="K17" s="16"/>
    </row>
    <row r="18" spans="2:12" x14ac:dyDescent="0.3">
      <c r="B18" s="49" t="s">
        <v>23</v>
      </c>
      <c r="C18" s="50">
        <v>33305</v>
      </c>
      <c r="D18" s="51" t="s">
        <v>6</v>
      </c>
      <c r="E18" s="52" t="s">
        <v>9</v>
      </c>
      <c r="F18" s="53">
        <v>40000</v>
      </c>
      <c r="G18" s="54">
        <v>40000</v>
      </c>
      <c r="H18" s="54">
        <v>35000</v>
      </c>
      <c r="I18" s="15"/>
      <c r="J18" s="15"/>
      <c r="K18" s="16"/>
    </row>
    <row r="19" spans="2:12" x14ac:dyDescent="0.3">
      <c r="B19" s="35" t="s">
        <v>35</v>
      </c>
      <c r="C19" s="36">
        <v>37931</v>
      </c>
      <c r="D19" s="37" t="s">
        <v>5</v>
      </c>
      <c r="E19" s="38" t="s">
        <v>8</v>
      </c>
      <c r="F19" s="39">
        <v>35000</v>
      </c>
      <c r="G19" s="40">
        <v>35000</v>
      </c>
      <c r="H19" s="40"/>
      <c r="I19" s="15"/>
      <c r="J19" s="15"/>
      <c r="K19" s="16"/>
    </row>
    <row r="20" spans="2:12" x14ac:dyDescent="0.3">
      <c r="B20" s="35" t="s">
        <v>34</v>
      </c>
      <c r="C20" s="36">
        <v>33834</v>
      </c>
      <c r="D20" s="37" t="s">
        <v>6</v>
      </c>
      <c r="E20" s="38" t="s">
        <v>8</v>
      </c>
      <c r="F20" s="39">
        <v>30000</v>
      </c>
      <c r="G20" s="39">
        <v>30000</v>
      </c>
      <c r="H20" s="40"/>
      <c r="I20" s="15"/>
      <c r="J20" s="15"/>
      <c r="K20" s="16"/>
    </row>
    <row r="21" spans="2:12" x14ac:dyDescent="0.3">
      <c r="B21" s="29" t="s">
        <v>37</v>
      </c>
      <c r="C21" s="30">
        <v>36130</v>
      </c>
      <c r="D21" s="31" t="s">
        <v>3</v>
      </c>
      <c r="E21" s="32" t="s">
        <v>8</v>
      </c>
      <c r="F21" s="33">
        <v>27000</v>
      </c>
      <c r="G21" s="33">
        <v>27000</v>
      </c>
      <c r="H21" s="34"/>
      <c r="I21" s="15"/>
      <c r="J21" s="15"/>
      <c r="K21" s="16"/>
    </row>
    <row r="22" spans="2:12" x14ac:dyDescent="0.3">
      <c r="B22" s="29" t="s">
        <v>36</v>
      </c>
      <c r="C22" s="30">
        <v>37176</v>
      </c>
      <c r="D22" s="31" t="s">
        <v>4</v>
      </c>
      <c r="E22" s="32" t="s">
        <v>8</v>
      </c>
      <c r="F22" s="33">
        <v>20000</v>
      </c>
      <c r="G22" s="33">
        <v>20000</v>
      </c>
      <c r="H22" s="34"/>
      <c r="I22" s="15"/>
      <c r="J22" s="15"/>
      <c r="K22" s="16"/>
    </row>
    <row r="23" spans="2:12" x14ac:dyDescent="0.3">
      <c r="B23" s="35" t="s">
        <v>38</v>
      </c>
      <c r="C23" s="36">
        <v>38188</v>
      </c>
      <c r="D23" s="37" t="s">
        <v>6</v>
      </c>
      <c r="E23" s="38" t="s">
        <v>8</v>
      </c>
      <c r="F23" s="39">
        <v>5000</v>
      </c>
      <c r="G23" s="40">
        <v>5000</v>
      </c>
      <c r="H23" s="40"/>
      <c r="I23" s="15"/>
      <c r="J23" s="15"/>
      <c r="K23" s="16"/>
    </row>
    <row r="24" spans="2:12" x14ac:dyDescent="0.3">
      <c r="B24" s="35" t="s">
        <v>39</v>
      </c>
      <c r="C24" s="36">
        <v>38220</v>
      </c>
      <c r="D24" s="37" t="s">
        <v>6</v>
      </c>
      <c r="E24" s="38" t="s">
        <v>8</v>
      </c>
      <c r="F24" s="39">
        <v>5000</v>
      </c>
      <c r="G24" s="40">
        <v>5000</v>
      </c>
      <c r="H24" s="40"/>
      <c r="I24" s="15"/>
      <c r="J24" s="15"/>
      <c r="K24" s="16"/>
    </row>
    <row r="25" spans="2:12" s="48" customFormat="1" x14ac:dyDescent="0.3">
      <c r="B25" s="41" t="s">
        <v>25</v>
      </c>
      <c r="C25" s="42">
        <v>33911</v>
      </c>
      <c r="D25" s="43" t="s">
        <v>3</v>
      </c>
      <c r="E25" s="44" t="s">
        <v>8</v>
      </c>
      <c r="F25" s="45">
        <v>28000</v>
      </c>
      <c r="G25" s="45">
        <v>28000</v>
      </c>
      <c r="H25" s="46">
        <v>28000</v>
      </c>
      <c r="I25" s="46"/>
      <c r="J25" s="46"/>
      <c r="K25" s="47"/>
    </row>
    <row r="26" spans="2:12" s="48" customFormat="1" x14ac:dyDescent="0.3">
      <c r="B26" s="41" t="s">
        <v>42</v>
      </c>
      <c r="C26" s="42">
        <v>44320</v>
      </c>
      <c r="D26" s="43" t="s">
        <v>6</v>
      </c>
      <c r="E26" s="44" t="s">
        <v>8</v>
      </c>
      <c r="F26" s="45"/>
      <c r="G26" s="45">
        <v>30000</v>
      </c>
      <c r="H26" s="46">
        <v>35000</v>
      </c>
      <c r="I26" s="46"/>
      <c r="J26" s="46"/>
      <c r="K26" s="47"/>
    </row>
    <row r="27" spans="2:12" s="48" customFormat="1" x14ac:dyDescent="0.3">
      <c r="B27" s="41" t="s">
        <v>43</v>
      </c>
      <c r="C27" s="42">
        <v>35787</v>
      </c>
      <c r="D27" s="43" t="s">
        <v>4</v>
      </c>
      <c r="E27" s="44" t="s">
        <v>8</v>
      </c>
      <c r="F27" s="45"/>
      <c r="G27" s="46">
        <v>35000</v>
      </c>
      <c r="H27" s="46">
        <v>35000</v>
      </c>
      <c r="I27" s="46"/>
      <c r="J27" s="46"/>
      <c r="K27" s="47"/>
      <c r="L27" s="47"/>
    </row>
    <row r="28" spans="2:12" s="48" customFormat="1" x14ac:dyDescent="0.3">
      <c r="B28" s="55" t="s">
        <v>44</v>
      </c>
      <c r="C28" s="56"/>
      <c r="D28" s="57" t="s">
        <v>5</v>
      </c>
      <c r="E28" s="58" t="s">
        <v>8</v>
      </c>
      <c r="F28" s="59"/>
      <c r="G28" s="59"/>
      <c r="H28" s="60">
        <v>10000</v>
      </c>
      <c r="I28" s="60">
        <v>15000</v>
      </c>
      <c r="J28" s="60"/>
      <c r="K28" s="47"/>
      <c r="L28" s="47"/>
    </row>
    <row r="29" spans="2:12" s="48" customFormat="1" x14ac:dyDescent="0.3">
      <c r="B29" s="55" t="s">
        <v>48</v>
      </c>
      <c r="C29" s="56"/>
      <c r="D29" s="57" t="s">
        <v>6</v>
      </c>
      <c r="E29" s="58" t="s">
        <v>8</v>
      </c>
      <c r="F29" s="59"/>
      <c r="G29" s="59"/>
      <c r="H29" s="60">
        <v>30000</v>
      </c>
      <c r="I29" s="60">
        <v>32000</v>
      </c>
      <c r="J29" s="60"/>
      <c r="K29" s="47"/>
      <c r="L29" s="47"/>
    </row>
    <row r="30" spans="2:12" s="48" customFormat="1" x14ac:dyDescent="0.3">
      <c r="B30" s="55" t="s">
        <v>50</v>
      </c>
      <c r="C30" s="56"/>
      <c r="D30" s="57" t="s">
        <v>6</v>
      </c>
      <c r="E30" s="58" t="s">
        <v>8</v>
      </c>
      <c r="F30" s="59"/>
      <c r="G30" s="59"/>
      <c r="H30" s="60">
        <v>20000</v>
      </c>
      <c r="I30" s="60"/>
      <c r="J30" s="60"/>
      <c r="K30" s="47"/>
      <c r="L30" s="47"/>
    </row>
    <row r="31" spans="2:12" s="48" customFormat="1" x14ac:dyDescent="0.3">
      <c r="B31" s="55" t="s">
        <v>49</v>
      </c>
      <c r="C31" s="56"/>
      <c r="D31" s="57" t="s">
        <v>3</v>
      </c>
      <c r="E31" s="58" t="s">
        <v>8</v>
      </c>
      <c r="F31" s="59"/>
      <c r="G31" s="59"/>
      <c r="H31" s="60">
        <v>15000</v>
      </c>
      <c r="I31" s="60">
        <v>15000</v>
      </c>
      <c r="J31" s="60"/>
      <c r="K31" s="47"/>
    </row>
    <row r="32" spans="2:12" s="48" customFormat="1" x14ac:dyDescent="0.3">
      <c r="B32" s="55" t="s">
        <v>47</v>
      </c>
      <c r="C32" s="56"/>
      <c r="D32" s="57" t="s">
        <v>3</v>
      </c>
      <c r="E32" s="58" t="s">
        <v>8</v>
      </c>
      <c r="F32" s="59"/>
      <c r="G32" s="59"/>
      <c r="H32" s="60">
        <v>30000</v>
      </c>
      <c r="I32" s="60">
        <v>30000</v>
      </c>
      <c r="J32" s="60"/>
      <c r="K32" s="47"/>
      <c r="L32" s="47"/>
    </row>
    <row r="33" spans="2:12 16380:16380" s="48" customFormat="1" x14ac:dyDescent="0.3">
      <c r="B33" s="41" t="s">
        <v>45</v>
      </c>
      <c r="C33" s="42"/>
      <c r="D33" s="43" t="s">
        <v>3</v>
      </c>
      <c r="E33" s="44" t="s">
        <v>8</v>
      </c>
      <c r="F33" s="45"/>
      <c r="G33" s="46"/>
      <c r="H33" s="46">
        <v>5000</v>
      </c>
      <c r="I33" s="46">
        <v>5000</v>
      </c>
      <c r="J33" s="46"/>
      <c r="K33" s="47"/>
    </row>
    <row r="34" spans="2:12 16380:16380" x14ac:dyDescent="0.3">
      <c r="B34" s="17"/>
      <c r="C34" s="18"/>
      <c r="D34" s="2"/>
      <c r="E34" s="19"/>
      <c r="F34" s="16"/>
      <c r="G34" s="20"/>
      <c r="H34" s="20"/>
      <c r="I34" s="20"/>
      <c r="J34" s="20"/>
      <c r="K34" s="16"/>
    </row>
    <row r="35" spans="2:12 16380:16380" x14ac:dyDescent="0.3">
      <c r="B35" s="17"/>
      <c r="C35" s="18"/>
      <c r="D35" s="2"/>
      <c r="E35" s="19"/>
      <c r="F35" s="16"/>
      <c r="G35" s="20"/>
      <c r="H35" s="20"/>
      <c r="I35" s="20"/>
      <c r="J35" s="20"/>
      <c r="K35" s="16" t="s">
        <v>46</v>
      </c>
    </row>
    <row r="36" spans="2:12 16380:16380" x14ac:dyDescent="0.3">
      <c r="F36" s="22">
        <f>SUM(F4:F33)</f>
        <v>569000</v>
      </c>
      <c r="G36" s="22">
        <f>SUM(G4:G33)</f>
        <v>662000</v>
      </c>
      <c r="H36" s="22">
        <f>SUM(H4:H33)</f>
        <v>663500</v>
      </c>
      <c r="I36" s="22">
        <f>SUM(I4:I33)</f>
        <v>334500</v>
      </c>
      <c r="J36" s="22">
        <f>SUM(J4:J33)</f>
        <v>155000</v>
      </c>
    </row>
    <row r="37" spans="2:12 16380:16380" x14ac:dyDescent="0.3">
      <c r="B37" s="8"/>
      <c r="C37" s="8"/>
      <c r="D37" s="8"/>
      <c r="E37" s="9"/>
      <c r="F37" s="10" t="s">
        <v>10</v>
      </c>
      <c r="G37" s="10" t="s">
        <v>12</v>
      </c>
      <c r="H37" s="10" t="s">
        <v>11</v>
      </c>
      <c r="I37" s="10" t="s">
        <v>13</v>
      </c>
      <c r="J37" s="10" t="s">
        <v>14</v>
      </c>
    </row>
    <row r="38" spans="2:12 16380:16380" x14ac:dyDescent="0.3">
      <c r="B38" s="8"/>
      <c r="C38" s="8"/>
      <c r="D38" s="8"/>
      <c r="E38" s="8" t="s">
        <v>18</v>
      </c>
      <c r="F38" s="10">
        <f>F36*6</f>
        <v>3414000</v>
      </c>
      <c r="G38" s="10">
        <f>G36*6</f>
        <v>3972000</v>
      </c>
      <c r="H38" s="10">
        <f>H36*6</f>
        <v>3981000</v>
      </c>
      <c r="I38" s="10">
        <f>I36*6</f>
        <v>2007000</v>
      </c>
      <c r="J38" s="10">
        <f>J36*6</f>
        <v>930000</v>
      </c>
      <c r="L38" s="16"/>
    </row>
    <row r="39" spans="2:12 16380:16380" x14ac:dyDescent="0.3">
      <c r="B39" s="8"/>
      <c r="C39" s="8"/>
      <c r="D39" s="8"/>
      <c r="E39" s="8"/>
      <c r="F39" s="21"/>
      <c r="G39" s="21"/>
      <c r="H39" s="21"/>
      <c r="I39" s="21"/>
      <c r="J39" s="21"/>
      <c r="L39" s="16"/>
    </row>
    <row r="40" spans="2:12 16380:16380" x14ac:dyDescent="0.3">
      <c r="B40" s="8"/>
      <c r="C40" s="8"/>
      <c r="D40" s="8"/>
      <c r="E40" s="8"/>
      <c r="F40" s="14"/>
      <c r="G40" s="14"/>
      <c r="H40" s="14"/>
      <c r="I40" s="14"/>
    </row>
    <row r="41" spans="2:12 16380:16380" x14ac:dyDescent="0.3">
      <c r="B41" s="8"/>
      <c r="C41" s="8"/>
      <c r="D41" s="8"/>
      <c r="E41" s="8"/>
      <c r="F41" s="14"/>
      <c r="G41" s="14"/>
      <c r="H41" s="14"/>
      <c r="I41" s="14"/>
    </row>
    <row r="42" spans="2:12 16380:16380" x14ac:dyDescent="0.3">
      <c r="B42" s="8"/>
      <c r="C42" s="8"/>
      <c r="D42" s="8"/>
      <c r="E42" s="8"/>
      <c r="F42" s="14"/>
      <c r="G42" s="14"/>
      <c r="H42" s="14"/>
      <c r="I42" s="14"/>
    </row>
    <row r="43" spans="2:12 16380:16380" x14ac:dyDescent="0.3">
      <c r="B43" s="8"/>
      <c r="C43" s="8"/>
      <c r="D43" s="8"/>
      <c r="E43" s="8" t="s">
        <v>15</v>
      </c>
      <c r="F43" s="12">
        <v>70000</v>
      </c>
      <c r="G43" s="12">
        <v>90000</v>
      </c>
      <c r="H43" s="12">
        <v>90000</v>
      </c>
      <c r="I43" s="14"/>
    </row>
    <row r="44" spans="2:12 16380:16380" x14ac:dyDescent="0.3">
      <c r="B44" s="8"/>
      <c r="C44" s="8"/>
      <c r="D44" s="8"/>
      <c r="E44" s="8" t="s">
        <v>16</v>
      </c>
      <c r="F44" s="12">
        <v>30000</v>
      </c>
      <c r="G44" s="12">
        <v>30000</v>
      </c>
      <c r="H44" s="12">
        <v>30000</v>
      </c>
      <c r="I44" s="14"/>
    </row>
    <row r="45" spans="2:12 16380:16380" x14ac:dyDescent="0.3">
      <c r="B45" s="8"/>
      <c r="C45" s="8"/>
      <c r="D45" s="8"/>
      <c r="E45" s="8" t="s">
        <v>17</v>
      </c>
      <c r="F45" s="12">
        <v>40000</v>
      </c>
      <c r="G45" s="12">
        <v>40000</v>
      </c>
      <c r="H45" s="12">
        <v>40000</v>
      </c>
      <c r="I45" s="14"/>
    </row>
    <row r="46" spans="2:12 16380:16380" x14ac:dyDescent="0.3">
      <c r="B46" s="8"/>
      <c r="C46" s="8"/>
      <c r="D46" s="8"/>
      <c r="E46" s="8" t="s">
        <v>19</v>
      </c>
      <c r="F46" s="12">
        <f>SUM(F43:F45)</f>
        <v>140000</v>
      </c>
      <c r="G46" s="12">
        <f>SUM(G43:G45)</f>
        <v>160000</v>
      </c>
      <c r="H46" s="12">
        <f>SUM(H43:H45)</f>
        <v>160000</v>
      </c>
      <c r="I46" s="14"/>
    </row>
    <row r="47" spans="2:12 16380:16380" ht="17.25" thickBot="1" x14ac:dyDescent="0.35">
      <c r="B47" s="8"/>
      <c r="C47" s="8"/>
      <c r="D47" s="8"/>
      <c r="E47" s="8" t="s">
        <v>19</v>
      </c>
      <c r="F47" s="13">
        <f>F46*6</f>
        <v>840000</v>
      </c>
      <c r="G47" s="13">
        <f>G46*6</f>
        <v>960000</v>
      </c>
      <c r="H47" s="13">
        <f>H46*6</f>
        <v>960000</v>
      </c>
      <c r="I47" s="14"/>
    </row>
    <row r="48" spans="2:12 16380:16380" x14ac:dyDescent="0.3">
      <c r="B48" s="8"/>
      <c r="C48" s="8"/>
      <c r="D48" s="8"/>
      <c r="E48" s="9"/>
      <c r="F48" s="11">
        <f>F38+F47</f>
        <v>4254000</v>
      </c>
      <c r="G48" s="11">
        <f>G38+G47</f>
        <v>4932000</v>
      </c>
      <c r="H48" s="11">
        <f>H38+H47</f>
        <v>4941000</v>
      </c>
      <c r="I48" s="14"/>
      <c r="XEZ48" s="6"/>
    </row>
    <row r="49" spans="7:7" x14ac:dyDescent="0.3">
      <c r="G49" s="6">
        <f>(F48-G48)/6</f>
        <v>-113000</v>
      </c>
    </row>
  </sheetData>
  <autoFilter ref="B3:J22" xr:uid="{00000000-0001-0000-0000-000000000000}">
    <sortState xmlns:xlrd2="http://schemas.microsoft.com/office/spreadsheetml/2017/richdata2" ref="B4:J24">
      <sortCondition ref="G3:G24"/>
    </sortState>
  </autoFilter>
  <printOptions horizontalCentered="1" verticalCentered="1"/>
  <pageMargins left="0.39370078740157483" right="0.39370078740157483" top="0.39370078740157483" bottom="0.39370078740157483" header="0.31496062992125984" footer="0.31496062992125984"/>
  <pageSetup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FEMENIL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Gonzalez Rosales</dc:creator>
  <cp:lastModifiedBy>ORL-11603</cp:lastModifiedBy>
  <cp:lastPrinted>2023-01-02T20:02:03Z</cp:lastPrinted>
  <dcterms:created xsi:type="dcterms:W3CDTF">2019-07-31T21:44:05Z</dcterms:created>
  <dcterms:modified xsi:type="dcterms:W3CDTF">2024-12-13T18:51:53Z</dcterms:modified>
</cp:coreProperties>
</file>