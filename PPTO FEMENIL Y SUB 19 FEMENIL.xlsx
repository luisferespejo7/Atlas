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drawings/drawing5.xml" ContentType="application/vnd.openxmlformats-officedocument.drawing+xml"/>
  <Override PartName="/xl/comments5.xml" ContentType="application/vnd.openxmlformats-officedocument.spreadsheetml.comments+xml"/>
  <Override PartName="/xl/drawings/drawing6.xml" ContentType="application/vnd.openxmlformats-officedocument.drawing+xml"/>
  <Override PartName="/xl/comments6.xml" ContentType="application/vnd.openxmlformats-officedocument.spreadsheetml.comments+xml"/>
  <Override PartName="/xl/drawings/drawing7.xml" ContentType="application/vnd.openxmlformats-officedocument.drawing+xml"/>
  <Override PartName="/xl/comments7.xml" ContentType="application/vnd.openxmlformats-officedocument.spreadsheetml.comments+xml"/>
  <Override PartName="/xl/drawings/drawing8.xml" ContentType="application/vnd.openxmlformats-officedocument.drawing+xml"/>
  <Override PartName="/xl/comments8.xml" ContentType="application/vnd.openxmlformats-officedocument.spreadsheetml.comments+xml"/>
  <Override PartName="/xl/drawings/drawing9.xml" ContentType="application/vnd.openxmlformats-officedocument.drawing+xml"/>
  <Override PartName="/xl/comments9.xml" ContentType="application/vnd.openxmlformats-officedocument.spreadsheetml.comments+xml"/>
  <Override PartName="/xl/drawings/drawing10.xml" ContentType="application/vnd.openxmlformats-officedocument.drawing+xml"/>
  <Override PartName="/xl/comments10.xml" ContentType="application/vnd.openxmlformats-officedocument.spreadsheetml.comments+xml"/>
  <Override PartName="/xl/drawings/drawing11.xml" ContentType="application/vnd.openxmlformats-officedocument.drawing+xml"/>
  <Override PartName="/xl/comments11.xml" ContentType="application/vnd.openxmlformats-officedocument.spreadsheetml.comments+xml"/>
  <Override PartName="/xl/drawings/drawing12.xml" ContentType="application/vnd.openxmlformats-officedocument.drawing+xml"/>
  <Override PartName="/xl/comments12.xml" ContentType="application/vnd.openxmlformats-officedocument.spreadsheetml.comments+xml"/>
  <Override PartName="/xl/drawings/drawing13.xml" ContentType="application/vnd.openxmlformats-officedocument.drawing+xml"/>
  <Override PartName="/xl/comments13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riafernandadelmarharo/Desktop/"/>
    </mc:Choice>
  </mc:AlternateContent>
  <xr:revisionPtr revIDLastSave="0" documentId="8_{35B99914-2316-724F-B3E0-933CCA364115}" xr6:coauthVersionLast="47" xr6:coauthVersionMax="47" xr10:uidLastSave="{00000000-0000-0000-0000-000000000000}"/>
  <bookViews>
    <workbookView xWindow="0" yWindow="720" windowWidth="29400" windowHeight="18400" tabRatio="915" activeTab="9" xr2:uid="{0C801637-A865-4C9F-B4BD-3C696045E8D0}"/>
  </bookViews>
  <sheets>
    <sheet name="Soporte GV 4a Div" sheetId="21" state="hidden" r:id="rId1"/>
    <sheet name="Soporte GV 5a Div" sheetId="22" state="hidden" r:id="rId2"/>
    <sheet name="Soporte GV 6a Div" sheetId="23" state="hidden" r:id="rId3"/>
    <sheet name="Soporte GV 7a Div" sheetId="24" state="hidden" r:id="rId4"/>
    <sheet name="Soporte GV 8a Div" sheetId="25" state="hidden" r:id="rId5"/>
    <sheet name="Soporte GV 9a Div" sheetId="26" state="hidden" r:id="rId6"/>
    <sheet name="Soporte GV 10a Div" sheetId="27" state="hidden" r:id="rId7"/>
    <sheet name="Soporte GV 11a Div" sheetId="28" state="hidden" r:id="rId8"/>
    <sheet name="Soporte GV 12a Div" sheetId="29" state="hidden" r:id="rId9"/>
    <sheet name="Femenil" sheetId="3" r:id="rId10"/>
    <sheet name="Femenil (2)" sheetId="34" r:id="rId11"/>
    <sheet name="Femenil Sub 19 (2)" sheetId="39" r:id="rId12"/>
    <sheet name="Femenil Sub 19" sheetId="6" r:id="rId13"/>
  </sheets>
  <definedNames>
    <definedName name="_xlnm._FilterDatabase" localSheetId="9" hidden="1">Femenil!$B$5:$W$22</definedName>
    <definedName name="_xlnm._FilterDatabase" localSheetId="10" hidden="1">'Femenil (2)'!$B$5:$W$22</definedName>
    <definedName name="_xlnm._FilterDatabase" localSheetId="12" hidden="1">'Femenil Sub 19'!$B$5:$T$21</definedName>
    <definedName name="_xlnm._FilterDatabase" localSheetId="11" hidden="1">'Femenil Sub 19 (2)'!$B$5:$T$21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2" i="3" l="1"/>
  <c r="I6" i="3"/>
  <c r="H19" i="3"/>
  <c r="H10" i="3"/>
  <c r="R31" i="3"/>
  <c r="I31" i="3"/>
  <c r="Q36" i="39"/>
  <c r="T33" i="39"/>
  <c r="S33" i="39"/>
  <c r="R33" i="39"/>
  <c r="J33" i="39"/>
  <c r="I32" i="39"/>
  <c r="U32" i="39" s="1"/>
  <c r="I31" i="39"/>
  <c r="U31" i="39" s="1"/>
  <c r="I30" i="39"/>
  <c r="U30" i="39" s="1"/>
  <c r="U33" i="39" s="1"/>
  <c r="S21" i="39"/>
  <c r="R21" i="39"/>
  <c r="J21" i="39"/>
  <c r="P20" i="39"/>
  <c r="Q20" i="39" s="1"/>
  <c r="T20" i="39" s="1"/>
  <c r="I20" i="39"/>
  <c r="Q19" i="39"/>
  <c r="T19" i="39" s="1"/>
  <c r="P18" i="39"/>
  <c r="Q18" i="39" s="1"/>
  <c r="T18" i="39" s="1"/>
  <c r="I18" i="39"/>
  <c r="P17" i="39"/>
  <c r="Q17" i="39" s="1"/>
  <c r="T17" i="39" s="1"/>
  <c r="I17" i="39"/>
  <c r="Q16" i="39"/>
  <c r="T16" i="39" s="1"/>
  <c r="Q15" i="39"/>
  <c r="T15" i="39" s="1"/>
  <c r="Q14" i="39"/>
  <c r="T14" i="39" s="1"/>
  <c r="Q13" i="39"/>
  <c r="T13" i="39" s="1"/>
  <c r="P13" i="39"/>
  <c r="I13" i="39"/>
  <c r="Q12" i="39"/>
  <c r="T12" i="39" s="1"/>
  <c r="P11" i="39"/>
  <c r="Q11" i="39" s="1"/>
  <c r="T11" i="39" s="1"/>
  <c r="I11" i="39"/>
  <c r="P10" i="39"/>
  <c r="Q10" i="39" s="1"/>
  <c r="T10" i="39" s="1"/>
  <c r="I10" i="39"/>
  <c r="Q9" i="39"/>
  <c r="T9" i="39" s="1"/>
  <c r="Q8" i="39"/>
  <c r="T8" i="39" s="1"/>
  <c r="P7" i="39"/>
  <c r="Q7" i="39" s="1"/>
  <c r="T7" i="39" s="1"/>
  <c r="I7" i="39"/>
  <c r="P6" i="39"/>
  <c r="Q6" i="39" s="1"/>
  <c r="I6" i="39"/>
  <c r="I21" i="39" s="1"/>
  <c r="T5" i="39"/>
  <c r="I36" i="34"/>
  <c r="Q36" i="34"/>
  <c r="H17" i="34"/>
  <c r="R5" i="34"/>
  <c r="R22" i="34" s="1"/>
  <c r="R38" i="34"/>
  <c r="S6" i="34"/>
  <c r="S7" i="34"/>
  <c r="S8" i="34"/>
  <c r="S9" i="34"/>
  <c r="S10" i="34"/>
  <c r="S11" i="34"/>
  <c r="S12" i="34"/>
  <c r="S13" i="34"/>
  <c r="S14" i="34"/>
  <c r="S15" i="34"/>
  <c r="S16" i="34"/>
  <c r="S17" i="34"/>
  <c r="S18" i="34"/>
  <c r="S19" i="34"/>
  <c r="S20" i="34"/>
  <c r="S21" i="34"/>
  <c r="S5" i="34"/>
  <c r="T6" i="39" l="1"/>
  <c r="T21" i="39" s="1"/>
  <c r="Q21" i="39"/>
  <c r="S22" i="34"/>
  <c r="C37" i="3" l="1"/>
  <c r="U38" i="34"/>
  <c r="T38" i="34"/>
  <c r="J38" i="34"/>
  <c r="V37" i="34"/>
  <c r="I37" i="34"/>
  <c r="V35" i="34"/>
  <c r="I35" i="34"/>
  <c r="W36" i="34" l="1"/>
  <c r="V38" i="34"/>
  <c r="W35" i="34"/>
  <c r="W31" i="3"/>
  <c r="W37" i="34"/>
  <c r="T22" i="3"/>
  <c r="U22" i="34"/>
  <c r="T21" i="34"/>
  <c r="T22" i="34"/>
  <c r="K22" i="34"/>
  <c r="J22" i="34"/>
  <c r="R21" i="6"/>
  <c r="I20" i="34"/>
  <c r="I18" i="34"/>
  <c r="I17" i="34"/>
  <c r="H15" i="34"/>
  <c r="I15" i="34" s="1"/>
  <c r="I13" i="34"/>
  <c r="I12" i="34"/>
  <c r="I9" i="34"/>
  <c r="I7" i="34"/>
  <c r="I5" i="34"/>
  <c r="I21" i="34"/>
  <c r="Q31" i="3"/>
  <c r="V21" i="34"/>
  <c r="P8" i="34"/>
  <c r="Q8" i="34" s="1"/>
  <c r="P9" i="34"/>
  <c r="Q9" i="34" s="1"/>
  <c r="P10" i="34"/>
  <c r="P11" i="34"/>
  <c r="Q11" i="34" s="1"/>
  <c r="P12" i="34"/>
  <c r="Q12" i="34" s="1"/>
  <c r="P13" i="34"/>
  <c r="Q13" i="34" s="1"/>
  <c r="P14" i="34"/>
  <c r="Q14" i="34" s="1"/>
  <c r="P15" i="34"/>
  <c r="Q15" i="34" s="1"/>
  <c r="P16" i="34"/>
  <c r="Q16" i="34" s="1"/>
  <c r="P17" i="34"/>
  <c r="Q17" i="34" s="1"/>
  <c r="P18" i="34"/>
  <c r="Q18" i="34" s="1"/>
  <c r="P19" i="34"/>
  <c r="Q19" i="34" s="1"/>
  <c r="P20" i="34"/>
  <c r="Q20" i="34" s="1"/>
  <c r="P21" i="34"/>
  <c r="Q21" i="34" s="1"/>
  <c r="P7" i="34"/>
  <c r="Q7" i="34" s="1"/>
  <c r="I19" i="34"/>
  <c r="W19" i="34" s="1"/>
  <c r="I16" i="34"/>
  <c r="W16" i="34" s="1"/>
  <c r="I14" i="34"/>
  <c r="W14" i="34" s="1"/>
  <c r="I11" i="34"/>
  <c r="W11" i="34" s="1"/>
  <c r="I10" i="34"/>
  <c r="W10" i="34" s="1"/>
  <c r="I8" i="34"/>
  <c r="W8" i="34" s="1"/>
  <c r="P6" i="34"/>
  <c r="Q6" i="34" s="1"/>
  <c r="I6" i="34"/>
  <c r="W6" i="34" s="1"/>
  <c r="I7" i="3"/>
  <c r="W38" i="34" l="1"/>
  <c r="W12" i="34"/>
  <c r="W7" i="34"/>
  <c r="Q22" i="34"/>
  <c r="W15" i="34"/>
  <c r="I22" i="34"/>
  <c r="W5" i="34"/>
  <c r="V22" i="34"/>
  <c r="W18" i="34"/>
  <c r="W17" i="34"/>
  <c r="W21" i="34"/>
  <c r="W20" i="34"/>
  <c r="W13" i="34"/>
  <c r="W9" i="34"/>
  <c r="W22" i="34" l="1"/>
  <c r="Q36" i="6" l="1"/>
  <c r="T33" i="6"/>
  <c r="S33" i="6"/>
  <c r="R33" i="6"/>
  <c r="J33" i="6"/>
  <c r="I32" i="6"/>
  <c r="I31" i="6"/>
  <c r="U31" i="6" s="1"/>
  <c r="I30" i="6"/>
  <c r="U32" i="6" l="1"/>
  <c r="U30" i="6"/>
  <c r="U33" i="6" l="1"/>
  <c r="J33" i="3"/>
  <c r="T33" i="3"/>
  <c r="U33" i="3"/>
  <c r="S33" i="3"/>
  <c r="V32" i="3"/>
  <c r="I32" i="3"/>
  <c r="V30" i="3"/>
  <c r="I30" i="3"/>
  <c r="V33" i="3" l="1"/>
  <c r="W32" i="3"/>
  <c r="W30" i="3"/>
  <c r="W33" i="3" l="1"/>
  <c r="H32" i="21" l="1"/>
  <c r="G32" i="21"/>
  <c r="I29" i="25" l="1"/>
  <c r="H29" i="25"/>
  <c r="G29" i="25"/>
  <c r="F29" i="25"/>
  <c r="I19" i="25"/>
  <c r="I13" i="25"/>
  <c r="AK5" i="29" l="1"/>
  <c r="I6" i="29"/>
  <c r="I7" i="29" s="1"/>
  <c r="R6" i="29"/>
  <c r="T6" i="29" s="1"/>
  <c r="R7" i="29"/>
  <c r="T7" i="29" s="1"/>
  <c r="T8" i="29"/>
  <c r="AK8" i="29" s="1"/>
  <c r="T9" i="29"/>
  <c r="AK9" i="29" s="1"/>
  <c r="I10" i="29"/>
  <c r="I11" i="29" s="1"/>
  <c r="G24" i="29" s="1"/>
  <c r="R10" i="29"/>
  <c r="T10" i="29" s="1"/>
  <c r="AK10" i="29" s="1"/>
  <c r="R11" i="29"/>
  <c r="T11" i="29" s="1"/>
  <c r="T12" i="29"/>
  <c r="AK12" i="29" s="1"/>
  <c r="R13" i="29"/>
  <c r="T13" i="29" s="1"/>
  <c r="T14" i="29"/>
  <c r="AK14" i="29" s="1"/>
  <c r="T15" i="29"/>
  <c r="AK15" i="29" s="1"/>
  <c r="I16" i="29"/>
  <c r="I19" i="29" s="1"/>
  <c r="I24" i="29" s="1"/>
  <c r="R16" i="29"/>
  <c r="T16" i="29" s="1"/>
  <c r="R19" i="29"/>
  <c r="T19" i="29" s="1"/>
  <c r="J20" i="29"/>
  <c r="K20" i="29"/>
  <c r="L20" i="29"/>
  <c r="S20" i="29"/>
  <c r="U20" i="29"/>
  <c r="V20" i="29"/>
  <c r="W20" i="29"/>
  <c r="X20" i="29"/>
  <c r="Y20" i="29"/>
  <c r="Z20" i="29"/>
  <c r="AA20" i="29"/>
  <c r="AB20" i="29"/>
  <c r="AC20" i="29"/>
  <c r="AD20" i="29"/>
  <c r="AE20" i="29"/>
  <c r="AF20" i="29"/>
  <c r="AG20" i="29"/>
  <c r="AH20" i="29"/>
  <c r="AI20" i="29"/>
  <c r="AJ20" i="29"/>
  <c r="H24" i="29"/>
  <c r="F25" i="29"/>
  <c r="G25" i="29"/>
  <c r="H25" i="29"/>
  <c r="I25" i="29"/>
  <c r="L28" i="29"/>
  <c r="L29" i="29"/>
  <c r="F30" i="29"/>
  <c r="G30" i="29"/>
  <c r="H30" i="29"/>
  <c r="I30" i="29"/>
  <c r="L31" i="29"/>
  <c r="L32" i="29"/>
  <c r="F33" i="29"/>
  <c r="G33" i="29"/>
  <c r="H33" i="29"/>
  <c r="I33" i="29"/>
  <c r="L34" i="29"/>
  <c r="F35" i="29"/>
  <c r="G35" i="29"/>
  <c r="H35" i="29"/>
  <c r="I35" i="29"/>
  <c r="L36" i="29"/>
  <c r="L37" i="29"/>
  <c r="L38" i="29"/>
  <c r="F39" i="29"/>
  <c r="G39" i="29"/>
  <c r="H39" i="29"/>
  <c r="I39" i="29"/>
  <c r="L40" i="29"/>
  <c r="L41" i="29"/>
  <c r="L42" i="29"/>
  <c r="F43" i="29"/>
  <c r="G43" i="29"/>
  <c r="H43" i="29"/>
  <c r="I43" i="29"/>
  <c r="F44" i="29"/>
  <c r="G44" i="29"/>
  <c r="H44" i="29"/>
  <c r="I44" i="29"/>
  <c r="J45" i="29"/>
  <c r="K45" i="29"/>
  <c r="AK5" i="28"/>
  <c r="I6" i="28"/>
  <c r="I7" i="28" s="1"/>
  <c r="F24" i="28" s="1"/>
  <c r="R6" i="28"/>
  <c r="T6" i="28" s="1"/>
  <c r="R7" i="28"/>
  <c r="T7" i="28" s="1"/>
  <c r="AK7" i="28" s="1"/>
  <c r="T8" i="28"/>
  <c r="AK8" i="28" s="1"/>
  <c r="T9" i="28"/>
  <c r="AK9" i="28" s="1"/>
  <c r="I10" i="28"/>
  <c r="I11" i="28" s="1"/>
  <c r="G24" i="28" s="1"/>
  <c r="R10" i="28"/>
  <c r="T10" i="28" s="1"/>
  <c r="R11" i="28"/>
  <c r="T11" i="28" s="1"/>
  <c r="T12" i="28"/>
  <c r="AK12" i="28" s="1"/>
  <c r="R13" i="28"/>
  <c r="T13" i="28" s="1"/>
  <c r="T14" i="28"/>
  <c r="AK14" i="28" s="1"/>
  <c r="T15" i="28"/>
  <c r="AK15" i="28" s="1"/>
  <c r="I16" i="28"/>
  <c r="I19" i="28" s="1"/>
  <c r="I24" i="28" s="1"/>
  <c r="R16" i="28"/>
  <c r="T16" i="28" s="1"/>
  <c r="R19" i="28"/>
  <c r="T19" i="28" s="1"/>
  <c r="J20" i="28"/>
  <c r="K20" i="28"/>
  <c r="L20" i="28"/>
  <c r="S20" i="28"/>
  <c r="U20" i="28"/>
  <c r="V20" i="28"/>
  <c r="W20" i="28"/>
  <c r="X20" i="28"/>
  <c r="Y20" i="28"/>
  <c r="Z20" i="28"/>
  <c r="AA20" i="28"/>
  <c r="AB20" i="28"/>
  <c r="AC20" i="28"/>
  <c r="AD20" i="28"/>
  <c r="AE20" i="28"/>
  <c r="AF20" i="28"/>
  <c r="AG20" i="28"/>
  <c r="AH20" i="28"/>
  <c r="AI20" i="28"/>
  <c r="AJ20" i="28"/>
  <c r="H24" i="28"/>
  <c r="F25" i="28"/>
  <c r="G25" i="28"/>
  <c r="H25" i="28"/>
  <c r="I25" i="28"/>
  <c r="L28" i="28"/>
  <c r="F29" i="28"/>
  <c r="G29" i="28"/>
  <c r="H29" i="28"/>
  <c r="I29" i="28"/>
  <c r="F30" i="28"/>
  <c r="G30" i="28"/>
  <c r="H30" i="28"/>
  <c r="I30" i="28"/>
  <c r="L30" i="28"/>
  <c r="L31" i="28"/>
  <c r="L32" i="28"/>
  <c r="F33" i="28"/>
  <c r="G33" i="28"/>
  <c r="H33" i="28"/>
  <c r="I33" i="28"/>
  <c r="L34" i="28"/>
  <c r="F35" i="28"/>
  <c r="G35" i="28"/>
  <c r="H35" i="28"/>
  <c r="I35" i="28"/>
  <c r="L36" i="28"/>
  <c r="L37" i="28"/>
  <c r="L38" i="28"/>
  <c r="F39" i="28"/>
  <c r="G39" i="28"/>
  <c r="H39" i="28"/>
  <c r="I39" i="28"/>
  <c r="L40" i="28"/>
  <c r="L41" i="28"/>
  <c r="L42" i="28"/>
  <c r="F43" i="28"/>
  <c r="L43" i="28" s="1"/>
  <c r="G43" i="28"/>
  <c r="H43" i="28"/>
  <c r="I43" i="28"/>
  <c r="F44" i="28"/>
  <c r="G44" i="28"/>
  <c r="H44" i="28"/>
  <c r="I44" i="28"/>
  <c r="J45" i="28"/>
  <c r="K45" i="28"/>
  <c r="AK5" i="27"/>
  <c r="I6" i="27"/>
  <c r="I7" i="27" s="1"/>
  <c r="R6" i="27"/>
  <c r="T6" i="27" s="1"/>
  <c r="R7" i="27"/>
  <c r="T7" i="27" s="1"/>
  <c r="T8" i="27"/>
  <c r="AK8" i="27" s="1"/>
  <c r="T9" i="27"/>
  <c r="AK9" i="27" s="1"/>
  <c r="I10" i="27"/>
  <c r="I11" i="27" s="1"/>
  <c r="G24" i="27" s="1"/>
  <c r="R10" i="27"/>
  <c r="T10" i="27" s="1"/>
  <c r="AK10" i="27" s="1"/>
  <c r="R11" i="27"/>
  <c r="T11" i="27" s="1"/>
  <c r="T12" i="27"/>
  <c r="AK12" i="27" s="1"/>
  <c r="R13" i="27"/>
  <c r="T13" i="27" s="1"/>
  <c r="T14" i="27"/>
  <c r="AK14" i="27" s="1"/>
  <c r="T15" i="27"/>
  <c r="AK15" i="27" s="1"/>
  <c r="I16" i="27"/>
  <c r="I19" i="27" s="1"/>
  <c r="I24" i="27" s="1"/>
  <c r="R16" i="27"/>
  <c r="T16" i="27" s="1"/>
  <c r="R19" i="27"/>
  <c r="T19" i="27" s="1"/>
  <c r="J20" i="27"/>
  <c r="K20" i="27"/>
  <c r="L20" i="27"/>
  <c r="S20" i="27"/>
  <c r="U20" i="27"/>
  <c r="V20" i="27"/>
  <c r="W20" i="27"/>
  <c r="X20" i="27"/>
  <c r="Y20" i="27"/>
  <c r="Z20" i="27"/>
  <c r="AA20" i="27"/>
  <c r="AB20" i="27"/>
  <c r="AC20" i="27"/>
  <c r="AD20" i="27"/>
  <c r="AE20" i="27"/>
  <c r="AF20" i="27"/>
  <c r="AG20" i="27"/>
  <c r="AH20" i="27"/>
  <c r="AI20" i="27"/>
  <c r="AJ20" i="27"/>
  <c r="H24" i="27"/>
  <c r="F25" i="27"/>
  <c r="L25" i="27" s="1"/>
  <c r="G25" i="27"/>
  <c r="H25" i="27"/>
  <c r="I25" i="27"/>
  <c r="L28" i="27"/>
  <c r="L29" i="27"/>
  <c r="F30" i="27"/>
  <c r="G30" i="27"/>
  <c r="H30" i="27"/>
  <c r="I30" i="27"/>
  <c r="L31" i="27"/>
  <c r="L32" i="27"/>
  <c r="F33" i="27"/>
  <c r="G33" i="27"/>
  <c r="H33" i="27"/>
  <c r="I33" i="27"/>
  <c r="L34" i="27"/>
  <c r="F35" i="27"/>
  <c r="G35" i="27"/>
  <c r="H35" i="27"/>
  <c r="I35" i="27"/>
  <c r="L36" i="27"/>
  <c r="L37" i="27"/>
  <c r="L38" i="27"/>
  <c r="F39" i="27"/>
  <c r="G39" i="27"/>
  <c r="H39" i="27"/>
  <c r="I39" i="27"/>
  <c r="L40" i="27"/>
  <c r="L41" i="27"/>
  <c r="L42" i="27"/>
  <c r="F43" i="27"/>
  <c r="G43" i="27"/>
  <c r="H43" i="27"/>
  <c r="I43" i="27"/>
  <c r="F44" i="27"/>
  <c r="G44" i="27"/>
  <c r="H44" i="27"/>
  <c r="I44" i="27"/>
  <c r="L44" i="27"/>
  <c r="J45" i="27"/>
  <c r="K45" i="27"/>
  <c r="AK5" i="26"/>
  <c r="I6" i="26"/>
  <c r="I7" i="26" s="1"/>
  <c r="R6" i="26"/>
  <c r="T6" i="26" s="1"/>
  <c r="R7" i="26"/>
  <c r="T7" i="26" s="1"/>
  <c r="T8" i="26"/>
  <c r="AK8" i="26" s="1"/>
  <c r="T9" i="26"/>
  <c r="AK9" i="26" s="1"/>
  <c r="I10" i="26"/>
  <c r="I11" i="26" s="1"/>
  <c r="G24" i="26" s="1"/>
  <c r="R10" i="26"/>
  <c r="T10" i="26" s="1"/>
  <c r="R11" i="26"/>
  <c r="T11" i="26"/>
  <c r="T12" i="26"/>
  <c r="AK12" i="26" s="1"/>
  <c r="R13" i="26"/>
  <c r="T13" i="26" s="1"/>
  <c r="T14" i="26"/>
  <c r="AK14" i="26" s="1"/>
  <c r="T15" i="26"/>
  <c r="AK15" i="26" s="1"/>
  <c r="I16" i="26"/>
  <c r="R16" i="26"/>
  <c r="T16" i="26" s="1"/>
  <c r="AK16" i="26" s="1"/>
  <c r="I19" i="26"/>
  <c r="I24" i="26" s="1"/>
  <c r="R19" i="26"/>
  <c r="T19" i="26" s="1"/>
  <c r="J20" i="26"/>
  <c r="K20" i="26"/>
  <c r="L20" i="26"/>
  <c r="S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AI20" i="26"/>
  <c r="AJ20" i="26"/>
  <c r="H24" i="26"/>
  <c r="F25" i="26"/>
  <c r="G25" i="26"/>
  <c r="H25" i="26"/>
  <c r="L25" i="26" s="1"/>
  <c r="I25" i="26"/>
  <c r="L28" i="26"/>
  <c r="L29" i="26"/>
  <c r="F30" i="26"/>
  <c r="G30" i="26"/>
  <c r="H30" i="26"/>
  <c r="I30" i="26"/>
  <c r="L31" i="26"/>
  <c r="L32" i="26"/>
  <c r="F33" i="26"/>
  <c r="G33" i="26"/>
  <c r="H33" i="26"/>
  <c r="I33" i="26"/>
  <c r="L34" i="26"/>
  <c r="F35" i="26"/>
  <c r="G35" i="26"/>
  <c r="H35" i="26"/>
  <c r="I35" i="26"/>
  <c r="L36" i="26"/>
  <c r="L37" i="26"/>
  <c r="L38" i="26"/>
  <c r="F39" i="26"/>
  <c r="G39" i="26"/>
  <c r="H39" i="26"/>
  <c r="I39" i="26"/>
  <c r="L40" i="26"/>
  <c r="L41" i="26"/>
  <c r="L42" i="26"/>
  <c r="F43" i="26"/>
  <c r="G43" i="26"/>
  <c r="H43" i="26"/>
  <c r="I43" i="26"/>
  <c r="F44" i="26"/>
  <c r="L44" i="26" s="1"/>
  <c r="G44" i="26"/>
  <c r="H44" i="26"/>
  <c r="I44" i="26"/>
  <c r="J45" i="26"/>
  <c r="K45" i="26"/>
  <c r="AK5" i="25"/>
  <c r="I6" i="25"/>
  <c r="I7" i="25" s="1"/>
  <c r="R6" i="25"/>
  <c r="T6" i="25" s="1"/>
  <c r="R7" i="25"/>
  <c r="T7" i="25" s="1"/>
  <c r="T8" i="25"/>
  <c r="AK8" i="25" s="1"/>
  <c r="T9" i="25"/>
  <c r="AK9" i="25" s="1"/>
  <c r="I10" i="25"/>
  <c r="R10" i="25"/>
  <c r="T10" i="25"/>
  <c r="AK10" i="25" s="1"/>
  <c r="I11" i="25"/>
  <c r="R11" i="25"/>
  <c r="T11" i="25" s="1"/>
  <c r="AK11" i="25" s="1"/>
  <c r="T12" i="25"/>
  <c r="AK12" i="25" s="1"/>
  <c r="R13" i="25"/>
  <c r="T13" i="25" s="1"/>
  <c r="T14" i="25"/>
  <c r="AK14" i="25"/>
  <c r="T15" i="25"/>
  <c r="AK15" i="25" s="1"/>
  <c r="I16" i="25"/>
  <c r="H24" i="25" s="1"/>
  <c r="R16" i="25"/>
  <c r="T16" i="25" s="1"/>
  <c r="I24" i="25"/>
  <c r="R19" i="25"/>
  <c r="T19" i="25" s="1"/>
  <c r="J20" i="25"/>
  <c r="K20" i="25"/>
  <c r="L20" i="25"/>
  <c r="S20" i="25"/>
  <c r="U20" i="25"/>
  <c r="V20" i="25"/>
  <c r="W20" i="25"/>
  <c r="X20" i="25"/>
  <c r="Y20" i="25"/>
  <c r="Z20" i="25"/>
  <c r="AA20" i="25"/>
  <c r="AB20" i="25"/>
  <c r="AC20" i="25"/>
  <c r="AD20" i="25"/>
  <c r="AE20" i="25"/>
  <c r="AF20" i="25"/>
  <c r="AG20" i="25"/>
  <c r="AH20" i="25"/>
  <c r="AI20" i="25"/>
  <c r="AJ20" i="25"/>
  <c r="G24" i="25"/>
  <c r="F25" i="25"/>
  <c r="G25" i="25"/>
  <c r="H25" i="25"/>
  <c r="I25" i="25"/>
  <c r="L28" i="25"/>
  <c r="L29" i="25"/>
  <c r="F30" i="25"/>
  <c r="L30" i="25" s="1"/>
  <c r="G30" i="25"/>
  <c r="H30" i="25"/>
  <c r="I30" i="25"/>
  <c r="L31" i="25"/>
  <c r="L32" i="25"/>
  <c r="F33" i="25"/>
  <c r="G33" i="25"/>
  <c r="H33" i="25"/>
  <c r="I33" i="25"/>
  <c r="L34" i="25"/>
  <c r="F35" i="25"/>
  <c r="G35" i="25"/>
  <c r="H35" i="25"/>
  <c r="I35" i="25"/>
  <c r="L36" i="25"/>
  <c r="L37" i="25"/>
  <c r="L38" i="25"/>
  <c r="F39" i="25"/>
  <c r="G39" i="25"/>
  <c r="H39" i="25"/>
  <c r="I39" i="25"/>
  <c r="L40" i="25"/>
  <c r="L41" i="25"/>
  <c r="L42" i="25"/>
  <c r="F43" i="25"/>
  <c r="L43" i="25" s="1"/>
  <c r="G43" i="25"/>
  <c r="H43" i="25"/>
  <c r="I43" i="25"/>
  <c r="F44" i="25"/>
  <c r="G44" i="25"/>
  <c r="H44" i="25"/>
  <c r="I44" i="25"/>
  <c r="J45" i="25"/>
  <c r="K45" i="25"/>
  <c r="AK5" i="24"/>
  <c r="I6" i="24"/>
  <c r="I7" i="24" s="1"/>
  <c r="F25" i="24" s="1"/>
  <c r="R6" i="24"/>
  <c r="T6" i="24" s="1"/>
  <c r="R7" i="24"/>
  <c r="T7" i="24" s="1"/>
  <c r="T8" i="24"/>
  <c r="AK8" i="24" s="1"/>
  <c r="T9" i="24"/>
  <c r="AK9" i="24" s="1"/>
  <c r="I10" i="24"/>
  <c r="R10" i="24"/>
  <c r="T10" i="24" s="1"/>
  <c r="I11" i="24"/>
  <c r="R11" i="24"/>
  <c r="T11" i="24" s="1"/>
  <c r="AK11" i="24" s="1"/>
  <c r="T12" i="24"/>
  <c r="AK12" i="24" s="1"/>
  <c r="R13" i="24"/>
  <c r="T13" i="24" s="1"/>
  <c r="T14" i="24"/>
  <c r="AK14" i="24" s="1"/>
  <c r="T15" i="24"/>
  <c r="AK15" i="24" s="1"/>
  <c r="I16" i="24"/>
  <c r="R16" i="24"/>
  <c r="T16" i="24" s="1"/>
  <c r="I17" i="24"/>
  <c r="I25" i="24" s="1"/>
  <c r="R17" i="24"/>
  <c r="T17" i="24" s="1"/>
  <c r="T18" i="24"/>
  <c r="AK18" i="24"/>
  <c r="T19" i="24"/>
  <c r="AK19" i="24" s="1"/>
  <c r="I20" i="24"/>
  <c r="R20" i="24"/>
  <c r="T20" i="24" s="1"/>
  <c r="J21" i="24"/>
  <c r="K21" i="24"/>
  <c r="L21" i="24"/>
  <c r="S21" i="24"/>
  <c r="U21" i="24"/>
  <c r="V21" i="24"/>
  <c r="W21" i="24"/>
  <c r="X21" i="24"/>
  <c r="Y21" i="24"/>
  <c r="Z21" i="24"/>
  <c r="AA21" i="24"/>
  <c r="AB21" i="24"/>
  <c r="AC21" i="24"/>
  <c r="AD21" i="24"/>
  <c r="AE21" i="24"/>
  <c r="AF21" i="24"/>
  <c r="AG21" i="24"/>
  <c r="AH21" i="24"/>
  <c r="AI21" i="24"/>
  <c r="AJ21" i="24"/>
  <c r="G25" i="24"/>
  <c r="H25" i="24"/>
  <c r="F26" i="24"/>
  <c r="G26" i="24"/>
  <c r="H26" i="24"/>
  <c r="I26" i="24"/>
  <c r="L29" i="24"/>
  <c r="F30" i="24"/>
  <c r="G30" i="24"/>
  <c r="H30" i="24"/>
  <c r="I30" i="24"/>
  <c r="F31" i="24"/>
  <c r="G31" i="24"/>
  <c r="H31" i="24"/>
  <c r="I31" i="24"/>
  <c r="L32" i="24"/>
  <c r="L33" i="24"/>
  <c r="F34" i="24"/>
  <c r="G34" i="24"/>
  <c r="H34" i="24"/>
  <c r="I34" i="24"/>
  <c r="L35" i="24"/>
  <c r="F36" i="24"/>
  <c r="G36" i="24"/>
  <c r="H36" i="24"/>
  <c r="I36" i="24"/>
  <c r="L37" i="24"/>
  <c r="L38" i="24"/>
  <c r="L39" i="24"/>
  <c r="F40" i="24"/>
  <c r="G40" i="24"/>
  <c r="H40" i="24"/>
  <c r="I40" i="24"/>
  <c r="L41" i="24"/>
  <c r="L42" i="24"/>
  <c r="L43" i="24"/>
  <c r="F44" i="24"/>
  <c r="G44" i="24"/>
  <c r="H44" i="24"/>
  <c r="I44" i="24"/>
  <c r="F45" i="24"/>
  <c r="G45" i="24"/>
  <c r="H45" i="24"/>
  <c r="I45" i="24"/>
  <c r="J46" i="24"/>
  <c r="K46" i="24"/>
  <c r="AK5" i="23"/>
  <c r="I6" i="23"/>
  <c r="I7" i="23" s="1"/>
  <c r="F25" i="23" s="1"/>
  <c r="R6" i="23"/>
  <c r="T6" i="23" s="1"/>
  <c r="R7" i="23"/>
  <c r="T7" i="23" s="1"/>
  <c r="T8" i="23"/>
  <c r="AK8" i="23" s="1"/>
  <c r="T9" i="23"/>
  <c r="AK9" i="23" s="1"/>
  <c r="I10" i="23"/>
  <c r="R10" i="23"/>
  <c r="T10" i="23" s="1"/>
  <c r="AK10" i="23" s="1"/>
  <c r="I11" i="23"/>
  <c r="R11" i="23"/>
  <c r="T11" i="23"/>
  <c r="AK11" i="23" s="1"/>
  <c r="T12" i="23"/>
  <c r="AK12" i="23" s="1"/>
  <c r="R13" i="23"/>
  <c r="T13" i="23" s="1"/>
  <c r="T14" i="23"/>
  <c r="AK14" i="23" s="1"/>
  <c r="T15" i="23"/>
  <c r="AK15" i="23" s="1"/>
  <c r="I16" i="23"/>
  <c r="R16" i="23"/>
  <c r="T16" i="23" s="1"/>
  <c r="AK16" i="23" s="1"/>
  <c r="I17" i="23"/>
  <c r="I25" i="23" s="1"/>
  <c r="R17" i="23"/>
  <c r="T17" i="23" s="1"/>
  <c r="T18" i="23"/>
  <c r="AK18" i="23" s="1"/>
  <c r="T19" i="23"/>
  <c r="AK19" i="23" s="1"/>
  <c r="I20" i="23"/>
  <c r="R20" i="23"/>
  <c r="T20" i="23"/>
  <c r="AK20" i="23" s="1"/>
  <c r="J21" i="23"/>
  <c r="K21" i="23"/>
  <c r="L21" i="23"/>
  <c r="S21" i="23"/>
  <c r="U21" i="23"/>
  <c r="V21" i="23"/>
  <c r="W21" i="23"/>
  <c r="X21" i="23"/>
  <c r="Y21" i="23"/>
  <c r="Z21" i="23"/>
  <c r="AA21" i="23"/>
  <c r="AB21" i="23"/>
  <c r="AC21" i="23"/>
  <c r="AD21" i="23"/>
  <c r="AE21" i="23"/>
  <c r="AF21" i="23"/>
  <c r="AG21" i="23"/>
  <c r="AH21" i="23"/>
  <c r="AI21" i="23"/>
  <c r="AJ21" i="23"/>
  <c r="H25" i="23"/>
  <c r="F26" i="23"/>
  <c r="G26" i="23"/>
  <c r="H26" i="23"/>
  <c r="I26" i="23"/>
  <c r="L29" i="23"/>
  <c r="F30" i="23"/>
  <c r="G30" i="23"/>
  <c r="H30" i="23"/>
  <c r="I30" i="23"/>
  <c r="F31" i="23"/>
  <c r="H31" i="23"/>
  <c r="I31" i="23"/>
  <c r="L32" i="23"/>
  <c r="L33" i="23"/>
  <c r="F34" i="23"/>
  <c r="G34" i="23"/>
  <c r="H34" i="23"/>
  <c r="I34" i="23"/>
  <c r="L35" i="23"/>
  <c r="F36" i="23"/>
  <c r="G36" i="23"/>
  <c r="H36" i="23"/>
  <c r="I36" i="23"/>
  <c r="L37" i="23"/>
  <c r="L38" i="23"/>
  <c r="L39" i="23"/>
  <c r="F40" i="23"/>
  <c r="G40" i="23"/>
  <c r="H40" i="23"/>
  <c r="I40" i="23"/>
  <c r="L41" i="23"/>
  <c r="L42" i="23"/>
  <c r="L43" i="23"/>
  <c r="F44" i="23"/>
  <c r="G44" i="23"/>
  <c r="H44" i="23"/>
  <c r="I44" i="23"/>
  <c r="F45" i="23"/>
  <c r="G45" i="23"/>
  <c r="H45" i="23"/>
  <c r="I45" i="23"/>
  <c r="J46" i="23"/>
  <c r="K46" i="23"/>
  <c r="AK5" i="22"/>
  <c r="I6" i="22"/>
  <c r="I7" i="22" s="1"/>
  <c r="F27" i="22" s="1"/>
  <c r="R6" i="22"/>
  <c r="T6" i="22" s="1"/>
  <c r="R7" i="22"/>
  <c r="T7" i="22" s="1"/>
  <c r="T8" i="22"/>
  <c r="AK8" i="22" s="1"/>
  <c r="T9" i="22"/>
  <c r="AK9" i="22"/>
  <c r="I10" i="22"/>
  <c r="G27" i="22" s="1"/>
  <c r="R10" i="22"/>
  <c r="T10" i="22" s="1"/>
  <c r="AK10" i="22" s="1"/>
  <c r="I11" i="22"/>
  <c r="R11" i="22"/>
  <c r="T11" i="22" s="1"/>
  <c r="AK11" i="22" s="1"/>
  <c r="T12" i="22"/>
  <c r="AK12" i="22" s="1"/>
  <c r="I13" i="22"/>
  <c r="R13" i="22"/>
  <c r="T13" i="22" s="1"/>
  <c r="I14" i="22"/>
  <c r="H27" i="22" s="1"/>
  <c r="R14" i="22"/>
  <c r="T14" i="22" s="1"/>
  <c r="T15" i="22"/>
  <c r="AK15" i="22" s="1"/>
  <c r="T16" i="22"/>
  <c r="AK16" i="22" s="1"/>
  <c r="I17" i="22"/>
  <c r="R17" i="22"/>
  <c r="T17" i="22" s="1"/>
  <c r="AK17" i="22" s="1"/>
  <c r="I18" i="22"/>
  <c r="I27" i="22" s="1"/>
  <c r="R18" i="22"/>
  <c r="T18" i="22" s="1"/>
  <c r="T19" i="22"/>
  <c r="AK19" i="22" s="1"/>
  <c r="T20" i="22"/>
  <c r="AK20" i="22" s="1"/>
  <c r="I21" i="22"/>
  <c r="R21" i="22"/>
  <c r="T21" i="22" s="1"/>
  <c r="AK21" i="22" s="1"/>
  <c r="T22" i="22"/>
  <c r="AK22" i="22" s="1"/>
  <c r="J23" i="22"/>
  <c r="K23" i="22"/>
  <c r="L23" i="22"/>
  <c r="S23" i="22"/>
  <c r="U23" i="22"/>
  <c r="V23" i="22"/>
  <c r="W23" i="22"/>
  <c r="X23" i="22"/>
  <c r="Y23" i="22"/>
  <c r="Z23" i="22"/>
  <c r="AA23" i="22"/>
  <c r="AB23" i="22"/>
  <c r="AC23" i="22"/>
  <c r="AD23" i="22"/>
  <c r="AE23" i="22"/>
  <c r="AF23" i="22"/>
  <c r="AG23" i="22"/>
  <c r="AH23" i="22"/>
  <c r="AI23" i="22"/>
  <c r="AJ23" i="22"/>
  <c r="F28" i="22"/>
  <c r="G28" i="22"/>
  <c r="H28" i="22"/>
  <c r="I28" i="22"/>
  <c r="L31" i="22"/>
  <c r="F32" i="22"/>
  <c r="G32" i="22"/>
  <c r="H32" i="22"/>
  <c r="I32" i="22"/>
  <c r="F33" i="22"/>
  <c r="G33" i="22"/>
  <c r="H33" i="22"/>
  <c r="I33" i="22"/>
  <c r="L34" i="22"/>
  <c r="L35" i="22"/>
  <c r="F36" i="22"/>
  <c r="G36" i="22"/>
  <c r="H36" i="22"/>
  <c r="I36" i="22"/>
  <c r="L37" i="22"/>
  <c r="F38" i="22"/>
  <c r="G38" i="22"/>
  <c r="H38" i="22"/>
  <c r="I38" i="22"/>
  <c r="L39" i="22"/>
  <c r="L40" i="22"/>
  <c r="L41" i="22"/>
  <c r="F42" i="22"/>
  <c r="G42" i="22"/>
  <c r="L42" i="22" s="1"/>
  <c r="H42" i="22"/>
  <c r="I42" i="22"/>
  <c r="L43" i="22"/>
  <c r="L44" i="22"/>
  <c r="L45" i="22"/>
  <c r="F46" i="22"/>
  <c r="G46" i="22"/>
  <c r="H46" i="22"/>
  <c r="I46" i="22"/>
  <c r="F47" i="22"/>
  <c r="G47" i="22"/>
  <c r="H47" i="22"/>
  <c r="I47" i="22"/>
  <c r="J48" i="22"/>
  <c r="K48" i="22"/>
  <c r="AK5" i="21"/>
  <c r="I6" i="21"/>
  <c r="I7" i="21" s="1"/>
  <c r="F27" i="21" s="1"/>
  <c r="R6" i="21"/>
  <c r="T6" i="21" s="1"/>
  <c r="AK6" i="21" s="1"/>
  <c r="R7" i="21"/>
  <c r="T7" i="21"/>
  <c r="T8" i="21"/>
  <c r="AK8" i="21" s="1"/>
  <c r="T9" i="21"/>
  <c r="AK9" i="21" s="1"/>
  <c r="I10" i="21"/>
  <c r="G27" i="21" s="1"/>
  <c r="R10" i="21"/>
  <c r="T10" i="21" s="1"/>
  <c r="AK10" i="21" s="1"/>
  <c r="I11" i="21"/>
  <c r="R11" i="21"/>
  <c r="T11" i="21" s="1"/>
  <c r="T12" i="21"/>
  <c r="AK12" i="21" s="1"/>
  <c r="I13" i="21"/>
  <c r="I14" i="21" s="1"/>
  <c r="H27" i="21" s="1"/>
  <c r="R13" i="21"/>
  <c r="T13" i="21" s="1"/>
  <c r="AK13" i="21" s="1"/>
  <c r="R14" i="21"/>
  <c r="T14" i="21" s="1"/>
  <c r="T15" i="21"/>
  <c r="AK15" i="21" s="1"/>
  <c r="T16" i="21"/>
  <c r="AK16" i="21" s="1"/>
  <c r="I17" i="21"/>
  <c r="R17" i="21"/>
  <c r="T17" i="21" s="1"/>
  <c r="AK17" i="21" s="1"/>
  <c r="I18" i="21"/>
  <c r="I27" i="21" s="1"/>
  <c r="R18" i="21"/>
  <c r="T18" i="21" s="1"/>
  <c r="T19" i="21"/>
  <c r="AK19" i="21" s="1"/>
  <c r="T20" i="21"/>
  <c r="AK20" i="21" s="1"/>
  <c r="I21" i="21"/>
  <c r="R21" i="21"/>
  <c r="T21" i="21" s="1"/>
  <c r="AK21" i="21" s="1"/>
  <c r="T22" i="21"/>
  <c r="AK22" i="21"/>
  <c r="J23" i="21"/>
  <c r="K23" i="21"/>
  <c r="L23" i="21"/>
  <c r="S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H23" i="21"/>
  <c r="AI23" i="21"/>
  <c r="AJ23" i="21"/>
  <c r="F28" i="21"/>
  <c r="G28" i="21"/>
  <c r="H28" i="21"/>
  <c r="I28" i="21"/>
  <c r="L31" i="21"/>
  <c r="F32" i="21"/>
  <c r="I32" i="21"/>
  <c r="F33" i="21"/>
  <c r="G33" i="21"/>
  <c r="H33" i="21"/>
  <c r="I33" i="21"/>
  <c r="L34" i="21"/>
  <c r="L35" i="21"/>
  <c r="F36" i="21"/>
  <c r="G36" i="21"/>
  <c r="H36" i="21"/>
  <c r="I36" i="21"/>
  <c r="L37" i="21"/>
  <c r="F38" i="21"/>
  <c r="G38" i="21"/>
  <c r="H38" i="21"/>
  <c r="I38" i="21"/>
  <c r="L39" i="21"/>
  <c r="L40" i="21"/>
  <c r="L41" i="21"/>
  <c r="F42" i="21"/>
  <c r="G42" i="21"/>
  <c r="H42" i="21"/>
  <c r="I42" i="21"/>
  <c r="L43" i="21"/>
  <c r="L44" i="21"/>
  <c r="L45" i="21"/>
  <c r="F46" i="21"/>
  <c r="G46" i="21"/>
  <c r="H46" i="21"/>
  <c r="I46" i="21"/>
  <c r="F47" i="21"/>
  <c r="L47" i="21" s="1"/>
  <c r="G47" i="21"/>
  <c r="H47" i="21"/>
  <c r="I47" i="21"/>
  <c r="J48" i="21"/>
  <c r="K48" i="21"/>
  <c r="S22" i="3"/>
  <c r="V5" i="3"/>
  <c r="W5" i="3" s="1"/>
  <c r="T5" i="6"/>
  <c r="P20" i="6"/>
  <c r="Q20" i="6" s="1"/>
  <c r="Q19" i="6"/>
  <c r="T19" i="6" s="1"/>
  <c r="P18" i="6"/>
  <c r="Q18" i="6" s="1"/>
  <c r="P17" i="6"/>
  <c r="Q17" i="6" s="1"/>
  <c r="T17" i="6" s="1"/>
  <c r="Q16" i="6"/>
  <c r="T16" i="6" s="1"/>
  <c r="Q15" i="6"/>
  <c r="T15" i="6" s="1"/>
  <c r="Q14" i="6"/>
  <c r="T14" i="6" s="1"/>
  <c r="P13" i="6"/>
  <c r="Q13" i="6" s="1"/>
  <c r="Q12" i="6"/>
  <c r="T12" i="6" s="1"/>
  <c r="P11" i="6"/>
  <c r="Q11" i="6" s="1"/>
  <c r="P10" i="6"/>
  <c r="Q10" i="6" s="1"/>
  <c r="Q9" i="6"/>
  <c r="T9" i="6" s="1"/>
  <c r="Q8" i="6"/>
  <c r="T8" i="6" s="1"/>
  <c r="P7" i="6"/>
  <c r="Q7" i="6" s="1"/>
  <c r="P6" i="6"/>
  <c r="Q6" i="6" s="1"/>
  <c r="I20" i="6"/>
  <c r="I18" i="6"/>
  <c r="I17" i="6"/>
  <c r="I13" i="6"/>
  <c r="I11" i="6"/>
  <c r="I10" i="6"/>
  <c r="I7" i="6"/>
  <c r="I6" i="6"/>
  <c r="Q20" i="3"/>
  <c r="R20" i="3" s="1"/>
  <c r="Q19" i="3"/>
  <c r="R19" i="3" s="1"/>
  <c r="Q16" i="3"/>
  <c r="R16" i="3" s="1"/>
  <c r="Q14" i="3"/>
  <c r="R14" i="3" s="1"/>
  <c r="Q11" i="3"/>
  <c r="R11" i="3" s="1"/>
  <c r="Q10" i="3"/>
  <c r="R10" i="3" s="1"/>
  <c r="Q8" i="3"/>
  <c r="R8" i="3" s="1"/>
  <c r="T13" i="6" l="1"/>
  <c r="T7" i="6"/>
  <c r="AK16" i="25"/>
  <c r="L35" i="28"/>
  <c r="AK10" i="28"/>
  <c r="AK16" i="29"/>
  <c r="T6" i="6"/>
  <c r="Q21" i="6"/>
  <c r="L46" i="22"/>
  <c r="L38" i="22"/>
  <c r="L44" i="25"/>
  <c r="L35" i="26"/>
  <c r="AK16" i="27"/>
  <c r="L33" i="29"/>
  <c r="L30" i="24"/>
  <c r="L44" i="23"/>
  <c r="L31" i="23"/>
  <c r="L36" i="24"/>
  <c r="T10" i="6"/>
  <c r="L46" i="21"/>
  <c r="AK11" i="21"/>
  <c r="L40" i="24"/>
  <c r="L44" i="29"/>
  <c r="L42" i="21"/>
  <c r="L40" i="23"/>
  <c r="G25" i="23"/>
  <c r="L44" i="24"/>
  <c r="I20" i="26"/>
  <c r="AK20" i="24"/>
  <c r="AK10" i="24"/>
  <c r="L25" i="25"/>
  <c r="AK7" i="25"/>
  <c r="L33" i="28"/>
  <c r="L25" i="28"/>
  <c r="AK16" i="28"/>
  <c r="AK11" i="28"/>
  <c r="L39" i="29"/>
  <c r="L35" i="29"/>
  <c r="L25" i="29"/>
  <c r="T11" i="6"/>
  <c r="T20" i="6"/>
  <c r="T18" i="6"/>
  <c r="AK11" i="29"/>
  <c r="I20" i="29"/>
  <c r="L43" i="29"/>
  <c r="L30" i="29"/>
  <c r="AK7" i="29"/>
  <c r="L39" i="28"/>
  <c r="L29" i="28"/>
  <c r="L44" i="28"/>
  <c r="I20" i="27"/>
  <c r="L30" i="27"/>
  <c r="AK7" i="27"/>
  <c r="AK11" i="27"/>
  <c r="L33" i="27"/>
  <c r="L35" i="27"/>
  <c r="L39" i="27"/>
  <c r="L43" i="27"/>
  <c r="AK7" i="26"/>
  <c r="L33" i="26"/>
  <c r="L39" i="26"/>
  <c r="L43" i="26"/>
  <c r="AK11" i="26"/>
  <c r="L30" i="26"/>
  <c r="AK10" i="26"/>
  <c r="L33" i="25"/>
  <c r="I20" i="25"/>
  <c r="L35" i="25"/>
  <c r="L39" i="25"/>
  <c r="L45" i="24"/>
  <c r="L31" i="24"/>
  <c r="AK16" i="24"/>
  <c r="L34" i="24"/>
  <c r="L26" i="24"/>
  <c r="AK7" i="24"/>
  <c r="L36" i="23"/>
  <c r="L34" i="23"/>
  <c r="L26" i="23"/>
  <c r="AK7" i="23"/>
  <c r="L45" i="23"/>
  <c r="L30" i="23"/>
  <c r="L32" i="22"/>
  <c r="L33" i="22"/>
  <c r="L47" i="22"/>
  <c r="L36" i="22"/>
  <c r="L28" i="22"/>
  <c r="AK7" i="22"/>
  <c r="AK14" i="21"/>
  <c r="H30" i="21"/>
  <c r="F30" i="21"/>
  <c r="L33" i="21"/>
  <c r="L38" i="21"/>
  <c r="L36" i="21"/>
  <c r="L32" i="21"/>
  <c r="AK7" i="21"/>
  <c r="L28" i="21"/>
  <c r="AK19" i="29"/>
  <c r="I27" i="29"/>
  <c r="I45" i="29" s="1"/>
  <c r="F27" i="29"/>
  <c r="T20" i="29"/>
  <c r="AK6" i="29"/>
  <c r="H27" i="29"/>
  <c r="H45" i="29" s="1"/>
  <c r="AK13" i="29"/>
  <c r="F24" i="29"/>
  <c r="G27" i="29"/>
  <c r="G45" i="29" s="1"/>
  <c r="AK19" i="28"/>
  <c r="I27" i="28"/>
  <c r="I45" i="28" s="1"/>
  <c r="H27" i="28"/>
  <c r="H45" i="28" s="1"/>
  <c r="AK13" i="28"/>
  <c r="L24" i="28"/>
  <c r="F27" i="28"/>
  <c r="T20" i="28"/>
  <c r="AK6" i="28"/>
  <c r="G45" i="28"/>
  <c r="I20" i="28"/>
  <c r="G27" i="28"/>
  <c r="AK19" i="27"/>
  <c r="I27" i="27"/>
  <c r="I45" i="27" s="1"/>
  <c r="F27" i="27"/>
  <c r="T20" i="27"/>
  <c r="AK6" i="27"/>
  <c r="H27" i="27"/>
  <c r="H45" i="27" s="1"/>
  <c r="AK13" i="27"/>
  <c r="F24" i="27"/>
  <c r="G27" i="27"/>
  <c r="G45" i="27" s="1"/>
  <c r="AK19" i="26"/>
  <c r="I27" i="26"/>
  <c r="I45" i="26" s="1"/>
  <c r="H27" i="26"/>
  <c r="H45" i="26" s="1"/>
  <c r="AK13" i="26"/>
  <c r="F27" i="26"/>
  <c r="T20" i="26"/>
  <c r="AK6" i="26"/>
  <c r="F24" i="26"/>
  <c r="G27" i="26"/>
  <c r="G45" i="26" s="1"/>
  <c r="F27" i="25"/>
  <c r="T20" i="25"/>
  <c r="AK6" i="25"/>
  <c r="AK19" i="25"/>
  <c r="I27" i="25"/>
  <c r="H27" i="25"/>
  <c r="H45" i="25" s="1"/>
  <c r="AK13" i="25"/>
  <c r="I45" i="25"/>
  <c r="F24" i="25"/>
  <c r="G27" i="25"/>
  <c r="G45" i="25" s="1"/>
  <c r="L25" i="24"/>
  <c r="T21" i="24"/>
  <c r="F28" i="24"/>
  <c r="AK6" i="24"/>
  <c r="AK17" i="24"/>
  <c r="I28" i="24"/>
  <c r="I46" i="24" s="1"/>
  <c r="AK13" i="24"/>
  <c r="H28" i="24"/>
  <c r="H46" i="24" s="1"/>
  <c r="I21" i="24"/>
  <c r="G28" i="24"/>
  <c r="G46" i="24" s="1"/>
  <c r="AK17" i="23"/>
  <c r="I28" i="23"/>
  <c r="I46" i="23" s="1"/>
  <c r="L25" i="23"/>
  <c r="F28" i="23"/>
  <c r="T21" i="23"/>
  <c r="AK6" i="23"/>
  <c r="AK13" i="23"/>
  <c r="H28" i="23"/>
  <c r="H46" i="23" s="1"/>
  <c r="I21" i="23"/>
  <c r="G28" i="23"/>
  <c r="G46" i="23" s="1"/>
  <c r="AK14" i="22"/>
  <c r="H30" i="22"/>
  <c r="H48" i="22" s="1"/>
  <c r="G30" i="22"/>
  <c r="G48" i="22" s="1"/>
  <c r="AK13" i="22"/>
  <c r="T23" i="22"/>
  <c r="AK18" i="22"/>
  <c r="I30" i="22"/>
  <c r="I48" i="22" s="1"/>
  <c r="L27" i="22"/>
  <c r="I23" i="22"/>
  <c r="AK6" i="22"/>
  <c r="F30" i="22"/>
  <c r="AK18" i="21"/>
  <c r="I30" i="21"/>
  <c r="I48" i="21" s="1"/>
  <c r="L27" i="21"/>
  <c r="F48" i="21"/>
  <c r="I23" i="21"/>
  <c r="G30" i="21"/>
  <c r="T23" i="21"/>
  <c r="T21" i="6" l="1"/>
  <c r="AK23" i="21"/>
  <c r="L27" i="26"/>
  <c r="L28" i="24"/>
  <c r="AK23" i="22"/>
  <c r="H48" i="21"/>
  <c r="L30" i="21"/>
  <c r="L27" i="29"/>
  <c r="L24" i="29"/>
  <c r="F45" i="29"/>
  <c r="L45" i="29" s="1"/>
  <c r="AK20" i="29"/>
  <c r="L27" i="28"/>
  <c r="F45" i="28"/>
  <c r="L45" i="28" s="1"/>
  <c r="AK20" i="28"/>
  <c r="AK20" i="27"/>
  <c r="L27" i="27"/>
  <c r="F45" i="27"/>
  <c r="L45" i="27" s="1"/>
  <c r="L24" i="27"/>
  <c r="AK20" i="26"/>
  <c r="L24" i="26"/>
  <c r="F45" i="26"/>
  <c r="L45" i="26" s="1"/>
  <c r="AK20" i="25"/>
  <c r="L24" i="25"/>
  <c r="F45" i="25"/>
  <c r="L45" i="25" s="1"/>
  <c r="L27" i="25"/>
  <c r="AK21" i="24"/>
  <c r="F46" i="24"/>
  <c r="L46" i="24" s="1"/>
  <c r="AK21" i="23"/>
  <c r="L28" i="23"/>
  <c r="F46" i="23"/>
  <c r="L46" i="23" s="1"/>
  <c r="L30" i="22"/>
  <c r="F48" i="22"/>
  <c r="L48" i="22" s="1"/>
  <c r="G48" i="21"/>
  <c r="L48" i="21" l="1"/>
  <c r="V21" i="3" l="1"/>
  <c r="V18" i="3"/>
  <c r="V17" i="3"/>
  <c r="V15" i="3"/>
  <c r="V13" i="3"/>
  <c r="V12" i="3"/>
  <c r="V9" i="3"/>
  <c r="V7" i="3"/>
  <c r="W7" i="3" s="1"/>
  <c r="J22" i="3"/>
  <c r="Q21" i="3"/>
  <c r="R21" i="3" s="1"/>
  <c r="I21" i="3"/>
  <c r="I20" i="3"/>
  <c r="I19" i="3"/>
  <c r="W19" i="3" s="1"/>
  <c r="R18" i="3"/>
  <c r="I18" i="3"/>
  <c r="R17" i="3"/>
  <c r="I17" i="3"/>
  <c r="I16" i="3"/>
  <c r="W16" i="3" s="1"/>
  <c r="Q15" i="3"/>
  <c r="R15" i="3" s="1"/>
  <c r="I15" i="3"/>
  <c r="I14" i="3"/>
  <c r="R13" i="3"/>
  <c r="I13" i="3"/>
  <c r="U22" i="3"/>
  <c r="R12" i="3"/>
  <c r="I12" i="3"/>
  <c r="I11" i="3"/>
  <c r="I10" i="3"/>
  <c r="R9" i="3"/>
  <c r="I9" i="3"/>
  <c r="I8" i="3"/>
  <c r="R7" i="3"/>
  <c r="Q6" i="3"/>
  <c r="R6" i="3" s="1"/>
  <c r="W17" i="3" l="1"/>
  <c r="W18" i="3"/>
  <c r="W21" i="3"/>
  <c r="W9" i="3"/>
  <c r="W15" i="3"/>
  <c r="W12" i="3"/>
  <c r="V22" i="3"/>
  <c r="W8" i="3"/>
  <c r="W14" i="3"/>
  <c r="W20" i="3"/>
  <c r="W10" i="3"/>
  <c r="W6" i="3"/>
  <c r="W13" i="3"/>
  <c r="W11" i="3"/>
  <c r="R22" i="3"/>
  <c r="W22" i="3" l="1"/>
  <c r="S21" i="6" l="1"/>
  <c r="J21" i="6"/>
  <c r="I21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ORL-10490</author>
    <author>ORL-10426</author>
  </authors>
  <commentList>
    <comment ref="AA8" authorId="0" shapeId="0" xr:uid="{E8C567C8-DF44-4148-8C4F-AD611FA6738A}">
      <text>
        <r>
          <rPr>
            <b/>
            <sz val="9"/>
            <color indexed="81"/>
            <rFont val="Tahoma"/>
            <family val="2"/>
          </rPr>
          <t>Se paga la mitad del arbitraje de todo el torneo.</t>
        </r>
      </text>
    </comment>
    <comment ref="H10" authorId="0" shapeId="0" xr:uid="{A366A713-0009-4E02-9940-09FFE49CDEE4}">
      <text>
        <r>
          <rPr>
            <b/>
            <sz val="9"/>
            <color indexed="81"/>
            <rFont val="Tahoma"/>
            <family val="2"/>
          </rPr>
          <t>1 Box Lunch de camino de Ida de $85
1 Box Lunch de camino de regreso de $160</t>
        </r>
      </text>
    </comment>
    <comment ref="H11" authorId="0" shapeId="0" xr:uid="{AE74605C-130D-4798-B134-EECD05F202D4}">
      <text>
        <r>
          <rPr>
            <b/>
            <sz val="9"/>
            <color indexed="81"/>
            <rFont val="Tahoma"/>
            <family val="2"/>
          </rPr>
          <t>1 Box Lunch de camino de Ida de $85
1 Box Lunch de camino de regreso de $160</t>
        </r>
      </text>
    </comment>
    <comment ref="H13" authorId="0" shapeId="0" xr:uid="{B1C7FA58-6C24-448E-8E02-1F214A916CF0}">
      <text>
        <r>
          <rPr>
            <b/>
            <sz val="9"/>
            <color indexed="81"/>
            <rFont val="Tahoma"/>
            <family val="2"/>
          </rPr>
          <t>1 desayuno de $210 
1 comidas de $230 
1 cenas de $230 por persona + 15% servicio</t>
        </r>
      </text>
    </comment>
    <comment ref="AA16" authorId="0" shapeId="0" xr:uid="{5089BDAC-2FC0-4268-9F8A-537F6E0B63E4}">
      <text>
        <r>
          <rPr>
            <b/>
            <sz val="9"/>
            <color indexed="81"/>
            <rFont val="Tahoma"/>
            <family val="2"/>
          </rPr>
          <t xml:space="preserve">Se liquida la segunda mitad del arbitraje de todo el torneo.
</t>
        </r>
      </text>
    </comment>
    <comment ref="H18" authorId="0" shapeId="0" xr:uid="{253396CF-A1C6-476A-B7BB-A08E496E08BA}">
      <text>
        <r>
          <rPr>
            <b/>
            <sz val="9"/>
            <color indexed="81"/>
            <rFont val="Tahoma"/>
            <family val="2"/>
          </rPr>
          <t>1 Box Lunch de camino de Ida de $85
1 Box Lunch de camino de regreso de $160</t>
        </r>
      </text>
    </comment>
    <comment ref="U18" authorId="1" shapeId="0" xr:uid="{E88287C8-E8A2-49B1-93E4-58CFC1D6D5A1}">
      <text>
        <r>
          <rPr>
            <b/>
            <sz val="9"/>
            <color indexed="81"/>
            <rFont val="Tahoma"/>
            <family val="2"/>
          </rPr>
          <t>Este equipo, llega tener sus partidos de local en Tepatitlán de Morelos, Jalisco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ORL-10490</author>
    <author>ORL-10426</author>
  </authors>
  <commentList>
    <comment ref="AA8" authorId="0" shapeId="0" xr:uid="{336C540A-8E16-474F-9268-7252A9469D6D}">
      <text>
        <r>
          <rPr>
            <b/>
            <sz val="9"/>
            <color indexed="81"/>
            <rFont val="Tahoma"/>
            <family val="2"/>
          </rPr>
          <t>Se paga la mitad del arbitraje de todo el torneo.</t>
        </r>
      </text>
    </comment>
    <comment ref="H10" authorId="0" shapeId="0" xr:uid="{B0E1BAB6-6246-49AA-A06B-E7E45D18D109}">
      <text>
        <r>
          <rPr>
            <b/>
            <sz val="9"/>
            <color indexed="81"/>
            <rFont val="Tahoma"/>
            <family val="2"/>
          </rPr>
          <t>1 Box Lunch de camino de Ida de $85
1 Box Lunch de camino de regreso de $160</t>
        </r>
      </text>
    </comment>
    <comment ref="H11" authorId="0" shapeId="0" xr:uid="{A5866A21-7779-4FB8-A829-2592A6EC83B8}">
      <text>
        <r>
          <rPr>
            <b/>
            <sz val="9"/>
            <color indexed="81"/>
            <rFont val="Tahoma"/>
            <family val="2"/>
          </rPr>
          <t>1 Box Lunch de camino de Ida de $85
1 Box Lunch de camino de regreso de $160</t>
        </r>
      </text>
    </comment>
    <comment ref="H13" authorId="0" shapeId="0" xr:uid="{FF43702B-C574-4E5E-BF31-EDF3BAD265E9}">
      <text>
        <r>
          <rPr>
            <b/>
            <sz val="9"/>
            <color indexed="81"/>
            <rFont val="Tahoma"/>
            <family val="2"/>
          </rPr>
          <t>1 desayuno de $210 
1 comidas de $230 
1 cenas de $230 por persona + 15% servicio</t>
        </r>
      </text>
    </comment>
    <comment ref="AA16" authorId="0" shapeId="0" xr:uid="{F0FC60DD-B61D-47AD-ACF1-A673B611097D}">
      <text>
        <r>
          <rPr>
            <b/>
            <sz val="9"/>
            <color indexed="81"/>
            <rFont val="Tahoma"/>
            <family val="2"/>
          </rPr>
          <t xml:space="preserve">Se liquida la segunda mitad del arbitraje de todo el torneo.
</t>
        </r>
      </text>
    </comment>
    <comment ref="H18" authorId="0" shapeId="0" xr:uid="{EEF0A1B1-ABB7-4B91-BC70-004CA7732C43}">
      <text>
        <r>
          <rPr>
            <b/>
            <sz val="9"/>
            <color indexed="81"/>
            <rFont val="Tahoma"/>
            <family val="2"/>
          </rPr>
          <t>1 Box Lunch de camino de Ida de $85
1 Box Lunch de camino de regreso de $160</t>
        </r>
      </text>
    </comment>
    <comment ref="U18" authorId="1" shapeId="0" xr:uid="{B3AF5CBD-314D-48BA-831E-388EE826EE72}">
      <text>
        <r>
          <rPr>
            <b/>
            <sz val="9"/>
            <color indexed="81"/>
            <rFont val="Tahoma"/>
            <family val="2"/>
          </rPr>
          <t>Este equipo, llega tener sus partidos de local en Tepatitlán de Morelos, Jalisco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ORL-10490</author>
    <author>ORL-10426</author>
  </authors>
  <commentList>
    <comment ref="AA8" authorId="0" shapeId="0" xr:uid="{85EFF8C5-1CFB-4CCC-9C47-678FD6D90C44}">
      <text>
        <r>
          <rPr>
            <b/>
            <sz val="9"/>
            <color indexed="81"/>
            <rFont val="Tahoma"/>
            <family val="2"/>
          </rPr>
          <t>Se paga la mitad del arbitraje de todo el torneo.</t>
        </r>
      </text>
    </comment>
    <comment ref="H10" authorId="0" shapeId="0" xr:uid="{1D34DBA8-DD98-4482-9FF8-560CF811C5A4}">
      <text>
        <r>
          <rPr>
            <b/>
            <sz val="9"/>
            <color indexed="81"/>
            <rFont val="Tahoma"/>
            <family val="2"/>
          </rPr>
          <t>1 Box Lunch de camino de Ida de $85
1 Box Lunch de camino de regreso de $160</t>
        </r>
      </text>
    </comment>
    <comment ref="H11" authorId="0" shapeId="0" xr:uid="{626AAB01-7B07-412D-B2B5-9DB12784C1FB}">
      <text>
        <r>
          <rPr>
            <b/>
            <sz val="9"/>
            <color indexed="81"/>
            <rFont val="Tahoma"/>
            <family val="2"/>
          </rPr>
          <t>1 Box Lunch de camino de Ida de $85
1 Box Lunch de camino de regreso de $160</t>
        </r>
      </text>
    </comment>
    <comment ref="AA15" authorId="0" shapeId="0" xr:uid="{7A1CB281-FD75-4D66-8CAA-CB02580F9681}">
      <text>
        <r>
          <rPr>
            <b/>
            <sz val="9"/>
            <color indexed="81"/>
            <rFont val="Tahoma"/>
            <family val="2"/>
          </rPr>
          <t xml:space="preserve">Se liquida la segunda mitad del arbitraje de todo el torneo.
</t>
        </r>
      </text>
    </comment>
    <comment ref="H17" authorId="0" shapeId="0" xr:uid="{581DD455-4F3F-472D-87F0-7DB2B51F6396}">
      <text>
        <r>
          <rPr>
            <b/>
            <sz val="9"/>
            <color indexed="81"/>
            <rFont val="Tahoma"/>
            <family val="2"/>
          </rPr>
          <t>1 Box Lunch de camino de Ida de $85
1 Box Lunch de camino de regreso de $160</t>
        </r>
      </text>
    </comment>
    <comment ref="U17" authorId="1" shapeId="0" xr:uid="{98E70E3F-D139-4E99-ABD4-F4AE52EF5B4B}">
      <text>
        <r>
          <rPr>
            <b/>
            <sz val="9"/>
            <color indexed="81"/>
            <rFont val="Tahoma"/>
            <family val="2"/>
          </rPr>
          <t>Este equipo, llega tener sus partidos de local en Tepatitlán de Morelos, Jalisco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ORL-10490</author>
    <author>ORL-10426</author>
  </authors>
  <commentList>
    <comment ref="AA8" authorId="0" shapeId="0" xr:uid="{688397A9-7B71-4A90-9A02-28847DEEADBB}">
      <text>
        <r>
          <rPr>
            <b/>
            <sz val="9"/>
            <color indexed="81"/>
            <rFont val="Tahoma"/>
            <family val="2"/>
          </rPr>
          <t>Se paga la mitad del arbitraje de todo el torneo.</t>
        </r>
      </text>
    </comment>
    <comment ref="H10" authorId="0" shapeId="0" xr:uid="{95CF857D-FFC1-47DB-9BC2-E22587549372}">
      <text>
        <r>
          <rPr>
            <b/>
            <sz val="9"/>
            <color indexed="81"/>
            <rFont val="Tahoma"/>
            <family val="2"/>
          </rPr>
          <t>1 Box Lunch de camino de Ida de $85
1 Box Lunch de camino de regreso de $160</t>
        </r>
      </text>
    </comment>
    <comment ref="H11" authorId="0" shapeId="0" xr:uid="{05C394F6-D6E1-4ED2-95A2-21438FD800DF}">
      <text>
        <r>
          <rPr>
            <b/>
            <sz val="9"/>
            <color indexed="81"/>
            <rFont val="Tahoma"/>
            <family val="2"/>
          </rPr>
          <t>1 Box Lunch de camino de Ida de $85
1 Box Lunch de camino de regreso de $160</t>
        </r>
      </text>
    </comment>
    <comment ref="AA15" authorId="0" shapeId="0" xr:uid="{829D21FE-C760-434F-9818-746B2D94C5A6}">
      <text>
        <r>
          <rPr>
            <b/>
            <sz val="9"/>
            <color indexed="81"/>
            <rFont val="Tahoma"/>
            <family val="2"/>
          </rPr>
          <t xml:space="preserve">Se liquida la segunda mitad del arbitraje de todo el torneo.
</t>
        </r>
      </text>
    </comment>
    <comment ref="H17" authorId="0" shapeId="0" xr:uid="{13D02B98-9F51-47CD-9ECB-B186B52DAEE9}">
      <text>
        <r>
          <rPr>
            <b/>
            <sz val="9"/>
            <color indexed="81"/>
            <rFont val="Tahoma"/>
            <family val="2"/>
          </rPr>
          <t>1 Box Lunch de camino de Ida de $85
1 Box Lunch de camino de regreso de $160</t>
        </r>
      </text>
    </comment>
    <comment ref="U17" authorId="1" shapeId="0" xr:uid="{3C533750-FBF3-4C49-8F33-B6D51925B822}">
      <text>
        <r>
          <rPr>
            <b/>
            <sz val="9"/>
            <color indexed="81"/>
            <rFont val="Tahoma"/>
            <family val="2"/>
          </rPr>
          <t>Este equipo, llega tener sus partidos de local en Tepatitlán de Morelos, Jalisco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ORL-10490</author>
  </authors>
  <commentList>
    <comment ref="AA8" authorId="0" shapeId="0" xr:uid="{7C0FF65C-4400-4739-87B9-DDFC3FEFFBE4}">
      <text>
        <r>
          <rPr>
            <b/>
            <sz val="9"/>
            <color indexed="81"/>
            <rFont val="Tahoma"/>
            <family val="2"/>
          </rPr>
          <t>Se paga la mitad del arbitraje de todo el torneo.</t>
        </r>
      </text>
    </comment>
    <comment ref="H13" authorId="0" shapeId="0" xr:uid="{C8637204-1F98-4D8A-892F-70B03A54D4A1}">
      <text>
        <r>
          <rPr>
            <b/>
            <sz val="9"/>
            <color indexed="81"/>
            <rFont val="Tahoma"/>
            <family val="2"/>
          </rPr>
          <t>1 Box Lunch de camino de Ida de $85
1 Box Lunch de camino de regreso de $160</t>
        </r>
      </text>
    </comment>
    <comment ref="AA15" authorId="0" shapeId="0" xr:uid="{330763D6-BC6D-4C5E-BA04-43B33E4A21E9}">
      <text>
        <r>
          <rPr>
            <b/>
            <sz val="9"/>
            <color indexed="81"/>
            <rFont val="Tahoma"/>
            <family val="2"/>
          </rPr>
          <t>Se paga la mitad del arbitraje de todo el torneo.</t>
        </r>
      </text>
    </comment>
    <comment ref="H19" authorId="0" shapeId="0" xr:uid="{82ECCEED-A0E2-4567-87FA-B69B82614EB8}">
      <text>
        <r>
          <rPr>
            <b/>
            <sz val="9"/>
            <color indexed="81"/>
            <rFont val="Tahoma"/>
            <family val="2"/>
          </rPr>
          <t>1 Box Lunch de camino de Ida de $85
1 Box Lunch de camino de regreso de $160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ORL-10490</author>
  </authors>
  <commentList>
    <comment ref="AA8" authorId="0" shapeId="0" xr:uid="{08C78CC8-DAF8-4F32-AB58-729FA38C65F2}">
      <text>
        <r>
          <rPr>
            <b/>
            <sz val="9"/>
            <color indexed="81"/>
            <rFont val="Tahoma"/>
            <family val="2"/>
          </rPr>
          <t>Se paga la mitad del arbitraje de todo el torneo.</t>
        </r>
      </text>
    </comment>
    <comment ref="AA15" authorId="0" shapeId="0" xr:uid="{5C9469B7-66DE-45FE-8235-2A9BF8398175}">
      <text>
        <r>
          <rPr>
            <b/>
            <sz val="9"/>
            <color indexed="81"/>
            <rFont val="Tahoma"/>
            <family val="2"/>
          </rPr>
          <t xml:space="preserve">Se liquida la segunda mitad del arbitraje de todo el torneo.
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ORL-10490</author>
  </authors>
  <commentList>
    <comment ref="AJ5" authorId="0" shapeId="0" xr:uid="{C3641514-9610-4128-AC1A-344BA0F2BE26}">
      <text>
        <r>
          <rPr>
            <b/>
            <sz val="9"/>
            <color indexed="81"/>
            <rFont val="Tahoma"/>
            <family val="2"/>
          </rPr>
          <t>2 Elementos de $460 c/u</t>
        </r>
      </text>
    </comment>
    <comment ref="AA8" authorId="0" shapeId="0" xr:uid="{9F0614FB-7B17-45DB-AAB0-2C3CD37B1E9A}">
      <text>
        <r>
          <rPr>
            <b/>
            <sz val="9"/>
            <color indexed="81"/>
            <rFont val="Tahoma"/>
            <family val="2"/>
          </rPr>
          <t>Se paga la mitad del arbitraje de todo el torneo.</t>
        </r>
      </text>
    </comment>
    <comment ref="AJ8" authorId="0" shapeId="0" xr:uid="{624256B3-EEE0-4C27-95B1-86F3A930CF19}">
      <text>
        <r>
          <rPr>
            <b/>
            <sz val="9"/>
            <color indexed="81"/>
            <rFont val="Tahoma"/>
            <family val="2"/>
          </rPr>
          <t>2 Elementos de $460 c/u</t>
        </r>
      </text>
    </comment>
    <comment ref="AJ9" authorId="0" shapeId="0" xr:uid="{CC0623E3-2174-468D-81C2-194673FC7729}">
      <text>
        <r>
          <rPr>
            <b/>
            <sz val="9"/>
            <color indexed="81"/>
            <rFont val="Tahoma"/>
            <family val="2"/>
          </rPr>
          <t>2 Elementos de $460 c/u</t>
        </r>
      </text>
    </comment>
    <comment ref="AJ12" authorId="0" shapeId="0" xr:uid="{B2C59A8E-7FD0-4BF9-A633-884FFA47B6DA}">
      <text>
        <r>
          <rPr>
            <b/>
            <sz val="9"/>
            <color indexed="81"/>
            <rFont val="Tahoma"/>
            <family val="2"/>
          </rPr>
          <t>2 Elementos de $460 c/u</t>
        </r>
      </text>
    </comment>
    <comment ref="AJ14" authorId="0" shapeId="0" xr:uid="{7A678C07-351B-469B-8A34-9B1D660213E9}">
      <text>
        <r>
          <rPr>
            <b/>
            <sz val="9"/>
            <color indexed="81"/>
            <rFont val="Tahoma"/>
            <family val="2"/>
          </rPr>
          <t>2 Elementos de $460 c/u</t>
        </r>
      </text>
    </comment>
    <comment ref="AA15" authorId="0" shapeId="0" xr:uid="{705C1115-8DDF-444B-9D6F-7723D0498748}">
      <text>
        <r>
          <rPr>
            <b/>
            <sz val="9"/>
            <color indexed="81"/>
            <rFont val="Tahoma"/>
            <family val="2"/>
          </rPr>
          <t xml:space="preserve">Se liquida la segunda mitad del arbitraje de todo el torneo.
</t>
        </r>
      </text>
    </comment>
    <comment ref="AJ15" authorId="0" shapeId="0" xr:uid="{58C6CDBF-314D-4ADA-B1F4-AC0B2FEBAB5C}">
      <text>
        <r>
          <rPr>
            <b/>
            <sz val="9"/>
            <color indexed="81"/>
            <rFont val="Tahoma"/>
            <family val="2"/>
          </rPr>
          <t>2 Elementos de $460 c/u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ORL-10490</author>
  </authors>
  <commentList>
    <comment ref="AA8" authorId="0" shapeId="0" xr:uid="{76FB06C5-D2F3-44DA-A37D-72805CE70EA4}">
      <text>
        <r>
          <rPr>
            <b/>
            <sz val="9"/>
            <color indexed="81"/>
            <rFont val="Tahoma"/>
            <family val="2"/>
          </rPr>
          <t>Se paga la mitad del arbitraje de todo el torneo.</t>
        </r>
      </text>
    </comment>
    <comment ref="AA15" authorId="0" shapeId="0" xr:uid="{1FB4BA26-2D68-49B3-9EC2-39B84A81B10E}">
      <text>
        <r>
          <rPr>
            <b/>
            <sz val="9"/>
            <color indexed="81"/>
            <rFont val="Tahoma"/>
            <family val="2"/>
          </rPr>
          <t xml:space="preserve">Se liquida la segunda mitad del arbitraje de todo el torneo.
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ORL-10490</author>
  </authors>
  <commentList>
    <comment ref="AA8" authorId="0" shapeId="0" xr:uid="{0079283A-4263-458E-ABDC-1637DB93C91F}">
      <text>
        <r>
          <rPr>
            <b/>
            <sz val="9"/>
            <color indexed="81"/>
            <rFont val="Tahoma"/>
            <family val="2"/>
          </rPr>
          <t>Se paga la mitad del arbitraje de todo el torneo.</t>
        </r>
      </text>
    </comment>
    <comment ref="AA15" authorId="0" shapeId="0" xr:uid="{06F86DAB-2F4C-42A2-B558-A69A23CE89A5}">
      <text>
        <r>
          <rPr>
            <b/>
            <sz val="9"/>
            <color indexed="81"/>
            <rFont val="Tahoma"/>
            <family val="2"/>
          </rPr>
          <t xml:space="preserve">Se liquida la segunda mitad del arbitraje de todo el torneo.
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ORL-10490</author>
  </authors>
  <commentList>
    <comment ref="V5" authorId="0" shapeId="0" xr:uid="{D1321CEB-4CAF-4ACE-AC04-7ED8D80165C8}">
      <text>
        <r>
          <rPr>
            <b/>
            <sz val="9"/>
            <color indexed="81"/>
            <rFont val="Tahoma"/>
            <family val="2"/>
          </rPr>
          <t>4 barras, 3 bolsas
(3*105)+(6*31)
=$513</t>
        </r>
      </text>
    </comment>
    <comment ref="H6" authorId="0" shapeId="0" xr:uid="{F2C73316-D67C-C040-BEBD-E774DB38752D}">
      <text>
        <r>
          <rPr>
            <b/>
            <sz val="9"/>
            <color rgb="FF000000"/>
            <rFont val="Tahoma"/>
            <family val="34"/>
          </rPr>
          <t>2 desayuno de $306, 2 comidas de $330, 1 cena de $330 por persona +15% servicio</t>
        </r>
      </text>
    </comment>
    <comment ref="V7" authorId="0" shapeId="0" xr:uid="{DB95C7D9-21B4-40AF-BF3B-20ADFB1F43F6}">
      <text>
        <r>
          <rPr>
            <b/>
            <sz val="9"/>
            <color indexed="81"/>
            <rFont val="Tahoma"/>
            <family val="2"/>
          </rPr>
          <t>4 barras, 3 bolsas
(3*105)+(6*31)
=$513</t>
        </r>
      </text>
    </comment>
    <comment ref="H8" authorId="0" shapeId="0" xr:uid="{C788F049-774A-6B47-BF5E-1EB54B249038}">
      <text>
        <r>
          <rPr>
            <b/>
            <sz val="9"/>
            <color rgb="FF000000"/>
            <rFont val="Tahoma"/>
            <family val="2"/>
          </rPr>
          <t>3 desayunos $260, 2 comidas $280, 2 cenas $280 +15% servicio</t>
        </r>
      </text>
    </comment>
    <comment ref="V9" authorId="0" shapeId="0" xr:uid="{36786545-E118-4B5C-B663-DDBC43142F35}">
      <text>
        <r>
          <rPr>
            <b/>
            <sz val="9"/>
            <color indexed="81"/>
            <rFont val="Tahoma"/>
            <family val="2"/>
          </rPr>
          <t>4 barras, 3 bolsas
(3*105)+(6*31)
=$513</t>
        </r>
      </text>
    </comment>
    <comment ref="H10" authorId="0" shapeId="0" xr:uid="{CE0455E5-1231-CC43-9C42-3FF12580D885}">
      <text>
        <r>
          <rPr>
            <b/>
            <sz val="9"/>
            <color rgb="FF000000"/>
            <rFont val="Tahoma"/>
            <family val="2"/>
          </rPr>
          <t>1 desayuno de $306, 2 comidas de $330, 1 cena de $330 por persona +15% servicio</t>
        </r>
      </text>
    </comment>
    <comment ref="H11" authorId="0" shapeId="0" xr:uid="{9DA849A0-C0CD-B149-80A5-093465115C60}">
      <text>
        <r>
          <rPr>
            <b/>
            <sz val="10"/>
            <color rgb="FF000000"/>
            <rFont val="Calibri"/>
            <family val="2"/>
          </rPr>
          <t>1 desayuno de $306, 2 comidas de $330, 2 cena de $330 por persona +15% servicio</t>
        </r>
        <r>
          <rPr>
            <sz val="9"/>
            <color rgb="FF000000"/>
            <rFont val="Calibri"/>
            <family val="2"/>
          </rPr>
          <t xml:space="preserve">
</t>
        </r>
      </text>
    </comment>
    <comment ref="V12" authorId="0" shapeId="0" xr:uid="{0E697FBB-8A22-4EC0-91CD-3AC28EDD07F8}">
      <text>
        <r>
          <rPr>
            <b/>
            <sz val="9"/>
            <color indexed="81"/>
            <rFont val="Tahoma"/>
            <family val="2"/>
          </rPr>
          <t>4 barras, 3 bolsas
(3*105)+(6*31)
=$513</t>
        </r>
      </text>
    </comment>
    <comment ref="V13" authorId="0" shapeId="0" xr:uid="{1BBCFC2C-E2C9-4600-BE9F-14F8EDF922AE}">
      <text>
        <r>
          <rPr>
            <b/>
            <sz val="9"/>
            <color indexed="81"/>
            <rFont val="Tahoma"/>
            <family val="2"/>
          </rPr>
          <t>4 barras, 3 bolsas
(3*105)+(6*31)
=$513</t>
        </r>
      </text>
    </comment>
    <comment ref="H14" authorId="0" shapeId="0" xr:uid="{D560D040-A57B-CF43-B51B-ACBE438833A8}">
      <text>
        <r>
          <rPr>
            <b/>
            <sz val="10"/>
            <color rgb="FF000000"/>
            <rFont val="Calibri"/>
            <family val="2"/>
          </rPr>
          <t>1 desayuno de $306, 2 comidas de $330, 2 cena de $330 por persona +15% servicio</t>
        </r>
        <r>
          <rPr>
            <sz val="9"/>
            <color rgb="FF000000"/>
            <rFont val="Calibri"/>
            <family val="2"/>
          </rPr>
          <t xml:space="preserve">
</t>
        </r>
      </text>
    </comment>
    <comment ref="V15" authorId="0" shapeId="0" xr:uid="{A8C20820-FE7D-4C55-9257-E9DF8A89819B}">
      <text>
        <r>
          <rPr>
            <b/>
            <sz val="9"/>
            <color indexed="81"/>
            <rFont val="Tahoma"/>
            <family val="2"/>
          </rPr>
          <t>4 barras, 3 bolsas
(3*105)+(6*31)
=$513</t>
        </r>
      </text>
    </comment>
    <comment ref="H16" authorId="0" shapeId="0" xr:uid="{E445EDF0-0418-874F-9C81-E10843014AEE}">
      <text>
        <r>
          <rPr>
            <b/>
            <sz val="9"/>
            <color rgb="FF000000"/>
            <rFont val="Tahoma"/>
            <family val="34"/>
          </rPr>
          <t>2 desayuno de $306, 2 comidas de $330, 1 cena de $330 por persona +15% servicio</t>
        </r>
      </text>
    </comment>
    <comment ref="V17" authorId="0" shapeId="0" xr:uid="{F469A3F2-0E42-4A63-A29D-4889BCD4D06A}">
      <text>
        <r>
          <rPr>
            <b/>
            <sz val="9"/>
            <color indexed="81"/>
            <rFont val="Tahoma"/>
            <family val="2"/>
          </rPr>
          <t>4 barras, 3 bolsas
(3*105)+(6*31)
=$513</t>
        </r>
      </text>
    </comment>
    <comment ref="V18" authorId="0" shapeId="0" xr:uid="{F19186A1-D66E-40DD-989B-10F43564E547}">
      <text>
        <r>
          <rPr>
            <b/>
            <sz val="9"/>
            <color indexed="81"/>
            <rFont val="Tahoma"/>
            <family val="2"/>
          </rPr>
          <t>4 barras, 3 bolsas
(3*105)+(6*31)
=$513</t>
        </r>
      </text>
    </comment>
    <comment ref="H19" authorId="0" shapeId="0" xr:uid="{644ACFDF-A52C-494F-8DB4-22EE0114C25F}">
      <text>
        <r>
          <rPr>
            <b/>
            <sz val="9"/>
            <color rgb="FF000000"/>
            <rFont val="Tahoma"/>
            <family val="2"/>
          </rPr>
          <t>1 desayuno de $306, 2 comidas de $330, 1 cena de $330 por persona +15% servicio</t>
        </r>
      </text>
    </comment>
    <comment ref="H20" authorId="0" shapeId="0" xr:uid="{6041B95D-7BE6-5344-8BEB-5039F92C3E1A}">
      <text>
        <r>
          <rPr>
            <b/>
            <sz val="9"/>
            <color rgb="FF000000"/>
            <rFont val="Tahoma"/>
            <family val="2"/>
          </rPr>
          <t>2 desayuno de $306, 2 comidas de $330, 1 cena de $330 por persona +15% servicio</t>
        </r>
      </text>
    </comment>
    <comment ref="V21" authorId="0" shapeId="0" xr:uid="{B51A1C1F-68A5-4EC0-B5FE-4C99AEA85FA8}">
      <text>
        <r>
          <rPr>
            <b/>
            <sz val="9"/>
            <color indexed="81"/>
            <rFont val="Tahoma"/>
            <family val="2"/>
          </rPr>
          <t>4 barras, 3 bolsas
(3*105)+(6*31)
=$513</t>
        </r>
      </text>
    </comment>
    <comment ref="V30" authorId="0" shapeId="0" xr:uid="{93FA96EA-2A0D-46A2-9430-28A04D535E41}">
      <text>
        <r>
          <rPr>
            <b/>
            <sz val="9"/>
            <color indexed="81"/>
            <rFont val="Tahoma"/>
            <family val="2"/>
          </rPr>
          <t>4 barras, 3 bolsas
(3*105)+(6*31)
=$513</t>
        </r>
      </text>
    </comment>
    <comment ref="H31" authorId="0" shapeId="0" xr:uid="{2C445D6C-9485-4592-83BD-55129B048D6B}">
      <text>
        <r>
          <rPr>
            <b/>
            <sz val="9"/>
            <color rgb="FF000000"/>
            <rFont val="Tahoma"/>
            <family val="2"/>
          </rPr>
          <t>1 desayuno de $306, 2 comidas de $330, 1 cena de $330 por persona +15% servicio</t>
        </r>
      </text>
    </comment>
    <comment ref="V32" authorId="0" shapeId="0" xr:uid="{97AEC85A-FC60-4CE4-87BC-333F1E70C0E3}">
      <text>
        <r>
          <rPr>
            <b/>
            <sz val="9"/>
            <color indexed="81"/>
            <rFont val="Tahoma"/>
            <family val="2"/>
          </rPr>
          <t>4 barras, 3 bolsas
(3*105)+(6*31)
=$513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ORL-10490</author>
    <author>María Fernanda Delmar Haro</author>
  </authors>
  <commentList>
    <comment ref="H5" authorId="0" shapeId="0" xr:uid="{A4819935-7393-4E3C-9CB4-4A2A18731131}">
      <text>
        <r>
          <rPr>
            <b/>
            <sz val="9"/>
            <color rgb="FF000000"/>
            <rFont val="Tahoma"/>
            <family val="2"/>
          </rPr>
          <t xml:space="preserve">1 desayuno de $306
</t>
        </r>
        <r>
          <rPr>
            <b/>
            <sz val="9"/>
            <color rgb="FF000000"/>
            <rFont val="Tahoma"/>
            <family val="2"/>
          </rPr>
          <t xml:space="preserve"> +15% servicio</t>
        </r>
      </text>
    </comment>
    <comment ref="H7" authorId="0" shapeId="0" xr:uid="{40B31BB5-7A14-8247-A03C-EEA8CBC5937C}">
      <text>
        <r>
          <rPr>
            <b/>
            <sz val="9"/>
            <color rgb="FF000000"/>
            <rFont val="Tahoma"/>
            <family val="2"/>
          </rPr>
          <t>2 desayuno de $306, 2 comidas de $330, 1 cena de $330 por persona +15% servicio</t>
        </r>
      </text>
    </comment>
    <comment ref="H9" authorId="0" shapeId="0" xr:uid="{F49CBA19-00D1-46EF-8DD5-0C2F4CF348BF}">
      <text>
        <r>
          <rPr>
            <b/>
            <sz val="9"/>
            <color rgb="FF000000"/>
            <rFont val="Tahoma"/>
            <family val="2"/>
          </rPr>
          <t>1 desayuno de $306, 2 comidas de $330, 2 cena de $330 por persona +15% servicio</t>
        </r>
      </text>
    </comment>
    <comment ref="V9" authorId="0" shapeId="0" xr:uid="{02EDB5A0-9FFD-49FB-B47F-5AF29CD89EAC}">
      <text>
        <r>
          <rPr>
            <b/>
            <sz val="9"/>
            <color indexed="81"/>
            <rFont val="Tahoma"/>
            <family val="2"/>
          </rPr>
          <t>4 barras, 3 bolsas
(3*105)+(6*31)
=$513</t>
        </r>
      </text>
    </comment>
    <comment ref="H12" authorId="0" shapeId="0" xr:uid="{EACE9823-77E0-4B38-8733-B4037D7C67B8}">
      <text>
        <r>
          <rPr>
            <b/>
            <sz val="10"/>
            <color rgb="FF000000"/>
            <rFont val="Calibri"/>
            <family val="2"/>
            <scheme val="minor"/>
          </rPr>
          <t>1 desayuno de $306, 2 comidas de $330, 2 cena de $330 por persona +15% servicio</t>
        </r>
        <r>
          <rPr>
            <sz val="9"/>
            <color rgb="FF000000"/>
            <rFont val="Calibri"/>
            <family val="2"/>
            <scheme val="minor"/>
          </rPr>
          <t xml:space="preserve">
</t>
        </r>
      </text>
    </comment>
    <comment ref="V12" authorId="0" shapeId="0" xr:uid="{74E4B187-0B54-45E2-A9DD-B5BDA7C2A15A}">
      <text>
        <r>
          <rPr>
            <b/>
            <sz val="9"/>
            <color rgb="FF000000"/>
            <rFont val="Tahoma"/>
            <family val="2"/>
          </rPr>
          <t xml:space="preserve">4 barras, 3 bolsas
</t>
        </r>
        <r>
          <rPr>
            <b/>
            <sz val="9"/>
            <color rgb="FF000000"/>
            <rFont val="Tahoma"/>
            <family val="2"/>
          </rPr>
          <t xml:space="preserve">(3*105)+(6*31)
</t>
        </r>
        <r>
          <rPr>
            <b/>
            <sz val="9"/>
            <color rgb="FF000000"/>
            <rFont val="Tahoma"/>
            <family val="2"/>
          </rPr>
          <t>=$513</t>
        </r>
      </text>
    </comment>
    <comment ref="H13" authorId="0" shapeId="0" xr:uid="{CF246EE9-6201-7A42-A04F-E88E92604829}">
      <text>
        <r>
          <rPr>
            <b/>
            <sz val="9"/>
            <color rgb="FF000000"/>
            <rFont val="Tahoma"/>
            <family val="2"/>
          </rPr>
          <t>3 desayuno de $306, 2 comidas de $330, 2 cena de $330 por persona +15% servicio</t>
        </r>
      </text>
    </comment>
    <comment ref="V13" authorId="0" shapeId="0" xr:uid="{1F7076A6-1609-4EA4-9956-35247869342F}">
      <text>
        <r>
          <rPr>
            <b/>
            <sz val="9"/>
            <color indexed="81"/>
            <rFont val="Tahoma"/>
            <family val="2"/>
          </rPr>
          <t>4 barras, 3 bolsas
(3*105)+(6*31)
=$513</t>
        </r>
      </text>
    </comment>
    <comment ref="H15" authorId="1" shapeId="0" xr:uid="{91CBDDB6-4239-7A4B-8225-991EF7C56F86}">
      <text>
        <r>
          <rPr>
            <b/>
            <sz val="10"/>
            <color rgb="FF000000"/>
            <rFont val="Tahoma"/>
            <family val="2"/>
          </rPr>
          <t>María Fernanda Delmar Haro: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2 desayunos $306
" comidas $330
2 cenas $330 +15%</t>
        </r>
      </text>
    </comment>
    <comment ref="V15" authorId="0" shapeId="0" xr:uid="{5DF7EC13-D179-47C4-A248-E24E3D6BA358}">
      <text>
        <r>
          <rPr>
            <b/>
            <sz val="9"/>
            <color indexed="81"/>
            <rFont val="Tahoma"/>
            <family val="2"/>
          </rPr>
          <t>4 barras, 3 bolsas
(3*105)+(6*31)
=$513</t>
        </r>
      </text>
    </comment>
    <comment ref="H17" authorId="0" shapeId="0" xr:uid="{D77A99B5-A901-416E-A9C4-6282A345EE81}">
      <text>
        <r>
          <rPr>
            <b/>
            <sz val="9"/>
            <color rgb="FF000000"/>
            <rFont val="Tahoma"/>
            <family val="2"/>
          </rPr>
          <t>1 desayuno de $306, 2 comidas de $330, 1 cena de $330 por persona +15% servicio</t>
        </r>
      </text>
    </comment>
    <comment ref="V17" authorId="0" shapeId="0" xr:uid="{AA31C674-F50A-4AFD-BD2F-3056211DE8C9}">
      <text>
        <r>
          <rPr>
            <b/>
            <sz val="9"/>
            <color indexed="81"/>
            <rFont val="Tahoma"/>
            <family val="2"/>
          </rPr>
          <t>4 barras, 3 bolsas
(3*105)+(6*31)
=$513</t>
        </r>
      </text>
    </comment>
    <comment ref="H18" authorId="0" shapeId="0" xr:uid="{69652AB4-4503-463C-8169-6EDAE2B60F45}">
      <text>
        <r>
          <rPr>
            <b/>
            <sz val="9"/>
            <color rgb="FF000000"/>
            <rFont val="Tahoma"/>
            <family val="2"/>
          </rPr>
          <t>3 desayunos $260, 2 comidas $280, 2 cenas $280 +15% servicio</t>
        </r>
      </text>
    </comment>
    <comment ref="V18" authorId="0" shapeId="0" xr:uid="{58AC9510-BC3C-485C-810C-4CE7E2F0DBCD}">
      <text>
        <r>
          <rPr>
            <b/>
            <sz val="9"/>
            <color indexed="81"/>
            <rFont val="Tahoma"/>
            <family val="2"/>
          </rPr>
          <t>4 barras, 3 bolsas
(3*105)+(6*31)
=$513</t>
        </r>
      </text>
    </comment>
    <comment ref="H21" authorId="0" shapeId="0" xr:uid="{52F0D33E-8047-484C-BE3A-EF0A5757A6E2}">
      <text>
        <r>
          <rPr>
            <b/>
            <sz val="18"/>
            <color rgb="FF000000"/>
            <rFont val="Calibri"/>
            <family val="2"/>
            <scheme val="minor"/>
          </rPr>
          <t>2 desayuno de $306, 2 comidas de $330, 1 cena de $330 por persona +15% servicio</t>
        </r>
      </text>
    </comment>
    <comment ref="V21" authorId="0" shapeId="0" xr:uid="{2C1066B4-D4F8-4C44-8B01-D2E0A89B990E}">
      <text>
        <r>
          <rPr>
            <b/>
            <sz val="9"/>
            <color indexed="81"/>
            <rFont val="Tahoma"/>
            <family val="2"/>
          </rPr>
          <t>4 barras, 3 bolsas
(3*105)+(6*31)
=$513</t>
        </r>
      </text>
    </comment>
    <comment ref="V35" authorId="0" shapeId="0" xr:uid="{B25F9BAD-9247-4F91-AA87-3D9BA05B00C6}">
      <text>
        <r>
          <rPr>
            <b/>
            <sz val="9"/>
            <color indexed="81"/>
            <rFont val="Tahoma"/>
            <family val="2"/>
          </rPr>
          <t>4 barras, 3 bolsas
(3*105)+(6*31)
=$513</t>
        </r>
      </text>
    </comment>
    <comment ref="H36" authorId="0" shapeId="0" xr:uid="{51FA57ED-03D6-4FE0-816C-BFB1D9792C2C}">
      <text>
        <r>
          <rPr>
            <b/>
            <sz val="9"/>
            <color rgb="FF000000"/>
            <rFont val="Tahoma"/>
            <family val="2"/>
          </rPr>
          <t>1 desayuno de $210, 1 comidas de $230, 1 cena de $230 por persona +15% servicio</t>
        </r>
      </text>
    </comment>
    <comment ref="V37" authorId="0" shapeId="0" xr:uid="{98D31720-5267-4C9F-BF44-D6042E9ED8FE}">
      <text>
        <r>
          <rPr>
            <b/>
            <sz val="9"/>
            <color indexed="81"/>
            <rFont val="Tahoma"/>
            <family val="2"/>
          </rPr>
          <t>4 barras, 3 bolsas
(3*105)+(6*31)
=$513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ORL-10490</author>
    <author>ORL-11603</author>
  </authors>
  <commentList>
    <comment ref="H6" authorId="0" shapeId="0" xr:uid="{8A998E6D-04FC-9149-BF7F-DC2E28EC398F}">
      <text>
        <r>
          <rPr>
            <b/>
            <sz val="9"/>
            <color rgb="FF000000"/>
            <rFont val="Tahoma"/>
            <family val="2"/>
          </rPr>
          <t>2 comidas $290 1 desayuno $240 1 cena $290 1 colación $130 *15%</t>
        </r>
      </text>
    </comment>
    <comment ref="H7" authorId="0" shapeId="0" xr:uid="{F128F821-75E6-B145-9F93-B10540D54894}">
      <text>
        <r>
          <rPr>
            <b/>
            <sz val="9"/>
            <color rgb="FF000000"/>
            <rFont val="Tahoma"/>
            <family val="2"/>
          </rPr>
          <t xml:space="preserve">2 desayunos $280 1 comida $305 1 cena $305 1 desayuno $280 por persona
</t>
        </r>
        <r>
          <rPr>
            <b/>
            <sz val="9"/>
            <color rgb="FF000000"/>
            <rFont val="Tahoma"/>
            <family val="2"/>
          </rPr>
          <t>+15% servicio</t>
        </r>
      </text>
    </comment>
    <comment ref="H10" authorId="0" shapeId="0" xr:uid="{E06F9DC9-5260-FE4A-8EA0-C45810362D6F}">
      <text>
        <r>
          <rPr>
            <b/>
            <sz val="9"/>
            <color rgb="FF000000"/>
            <rFont val="Tahoma"/>
            <family val="34"/>
          </rPr>
          <t>2 desayunos $280 1 comida $305 1 cena $305 1 desayuno $280 por persona</t>
        </r>
        <r>
          <rPr>
            <sz val="9"/>
            <color rgb="FF000000"/>
            <rFont val="Calibri"/>
            <family val="2"/>
            <scheme val="minor"/>
          </rPr>
          <t xml:space="preserve">
</t>
        </r>
        <r>
          <rPr>
            <b/>
            <sz val="9"/>
            <color rgb="FF000000"/>
            <rFont val="Tahoma"/>
            <family val="34"/>
          </rPr>
          <t>+15% servicio</t>
        </r>
      </text>
    </comment>
    <comment ref="H11" authorId="0" shapeId="0" xr:uid="{00A97E8A-7D9B-1F49-984D-BC59576287BF}">
      <text>
        <r>
          <rPr>
            <b/>
            <sz val="9"/>
            <color rgb="FF000000"/>
            <rFont val="Tahoma"/>
            <family val="2"/>
          </rPr>
          <t xml:space="preserve">1 desayuno de $260, 2 comidas $290 2 cenas $290
</t>
        </r>
        <r>
          <rPr>
            <b/>
            <sz val="9"/>
            <color rgb="FF000000"/>
            <rFont val="Tahoma"/>
            <family val="2"/>
          </rPr>
          <t>+15% servicio</t>
        </r>
      </text>
    </comment>
    <comment ref="H13" authorId="0" shapeId="0" xr:uid="{DF59A757-8B69-7A43-B5A8-8D9E3D037DF4}">
      <text>
        <r>
          <rPr>
            <b/>
            <sz val="9"/>
            <color rgb="FF000000"/>
            <rFont val="Tahoma"/>
            <family val="2"/>
          </rPr>
          <t xml:space="preserve">1 desayuno de $260, 2 comidas de $290, 2 cenas de $290 por persona
</t>
        </r>
        <r>
          <rPr>
            <b/>
            <sz val="9"/>
            <color rgb="FF000000"/>
            <rFont val="Tahoma"/>
            <family val="2"/>
          </rPr>
          <t>+15% servicio</t>
        </r>
      </text>
    </comment>
    <comment ref="H17" authorId="0" shapeId="0" xr:uid="{4C7C3B30-89F8-F842-BB18-D3FA9B7C44B1}">
      <text>
        <r>
          <rPr>
            <b/>
            <sz val="9"/>
            <color rgb="FF000000"/>
            <rFont val="Tahoma"/>
            <family val="2"/>
          </rPr>
          <t>1 desayuno de $225 2 coomidas $265 2 cenas $265 + 15%</t>
        </r>
      </text>
    </comment>
    <comment ref="H18" authorId="1" shapeId="0" xr:uid="{511982BB-9528-494B-868C-F607318C9B29}">
      <text>
        <r>
          <rPr>
            <b/>
            <sz val="9"/>
            <color rgb="FF000000"/>
            <rFont val="Tahoma"/>
            <family val="2"/>
          </rPr>
          <t>ORL-11603: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1 desayuno de $260 + 15% </t>
        </r>
      </text>
    </comment>
    <comment ref="H20" authorId="0" shapeId="0" xr:uid="{98AECFD5-E077-324A-9CF8-E14B7613062E}">
      <text>
        <r>
          <rPr>
            <b/>
            <sz val="9"/>
            <color rgb="FF000000"/>
            <rFont val="Tahoma"/>
            <family val="34"/>
          </rPr>
          <t xml:space="preserve">1 desayuno de $225 2 coomidas $265 2 cenas $265 + 15%
</t>
        </r>
      </text>
    </comment>
    <comment ref="H31" authorId="0" shapeId="0" xr:uid="{9E49B780-3A13-F345-8229-2C678099AE0F}">
      <text>
        <r>
          <rPr>
            <b/>
            <sz val="9"/>
            <color rgb="FF000000"/>
            <rFont val="Tahoma"/>
            <family val="2"/>
          </rPr>
          <t>1 desayuno de $210, 1 comidas de $230, 1 cena de $230 por persona +15% servicio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ORL-10490</author>
    <author>ORL-11603</author>
  </authors>
  <commentList>
    <comment ref="H6" authorId="0" shapeId="0" xr:uid="{5F38456E-B78E-4715-A54E-5EC3A11CC1E4}">
      <text>
        <r>
          <rPr>
            <b/>
            <sz val="9"/>
            <color rgb="FF000000"/>
            <rFont val="Tahoma"/>
            <family val="2"/>
          </rPr>
          <t>2 comidas $290 1 desayuno $240 1 cena $290 1 colación $130 *15%</t>
        </r>
      </text>
    </comment>
    <comment ref="H7" authorId="0" shapeId="0" xr:uid="{FE18C6A0-4CC7-4D64-A139-D1D320147DDA}">
      <text>
        <r>
          <rPr>
            <b/>
            <sz val="9"/>
            <color rgb="FF000000"/>
            <rFont val="Tahoma"/>
            <family val="2"/>
          </rPr>
          <t xml:space="preserve">2 desayunos $280 1 comida $305 1 cena $305 1 desayuno $280 por persona
</t>
        </r>
        <r>
          <rPr>
            <b/>
            <sz val="9"/>
            <color rgb="FF000000"/>
            <rFont val="Tahoma"/>
            <family val="2"/>
          </rPr>
          <t>+15% servicio</t>
        </r>
      </text>
    </comment>
    <comment ref="H10" authorId="0" shapeId="0" xr:uid="{F3B8DB4D-D393-42E1-A25C-93E279714AEA}">
      <text>
        <r>
          <rPr>
            <b/>
            <sz val="9"/>
            <color rgb="FF000000"/>
            <rFont val="Tahoma"/>
            <family val="34"/>
          </rPr>
          <t>2 desayunos $280 1 comida $305 1 cena $305 1 desayuno $280 por persona</t>
        </r>
        <r>
          <rPr>
            <sz val="9"/>
            <color rgb="FF000000"/>
            <rFont val="Calibri"/>
            <family val="2"/>
            <scheme val="minor"/>
          </rPr>
          <t xml:space="preserve">
</t>
        </r>
        <r>
          <rPr>
            <b/>
            <sz val="9"/>
            <color rgb="FF000000"/>
            <rFont val="Tahoma"/>
            <family val="34"/>
          </rPr>
          <t>+15% servicio</t>
        </r>
      </text>
    </comment>
    <comment ref="H11" authorId="0" shapeId="0" xr:uid="{B141DF4A-7A43-4347-BAEC-E1B3CB9AD4E3}">
      <text>
        <r>
          <rPr>
            <b/>
            <sz val="9"/>
            <color rgb="FF000000"/>
            <rFont val="Tahoma"/>
            <family val="2"/>
          </rPr>
          <t xml:space="preserve">1 desayuno de $260, 2 comidas $290 2 cenas $290
</t>
        </r>
        <r>
          <rPr>
            <b/>
            <sz val="9"/>
            <color rgb="FF000000"/>
            <rFont val="Tahoma"/>
            <family val="2"/>
          </rPr>
          <t>+15% servicio</t>
        </r>
      </text>
    </comment>
    <comment ref="H13" authorId="0" shapeId="0" xr:uid="{507B53CB-3CD5-4D15-B149-A00F2C1674BB}">
      <text>
        <r>
          <rPr>
            <b/>
            <sz val="9"/>
            <color rgb="FF000000"/>
            <rFont val="Tahoma"/>
            <family val="2"/>
          </rPr>
          <t xml:space="preserve">1 desayuno de $260, 2 comidas de $290, 2 cenas de $290 por persona
</t>
        </r>
        <r>
          <rPr>
            <b/>
            <sz val="9"/>
            <color rgb="FF000000"/>
            <rFont val="Tahoma"/>
            <family val="2"/>
          </rPr>
          <t>+15% servicio</t>
        </r>
      </text>
    </comment>
    <comment ref="H17" authorId="0" shapeId="0" xr:uid="{D54697B4-2D5B-45C7-ADB0-ECB053EF2C92}">
      <text>
        <r>
          <rPr>
            <b/>
            <sz val="9"/>
            <color rgb="FF000000"/>
            <rFont val="Tahoma"/>
            <family val="2"/>
          </rPr>
          <t>1 desayuno de $225 2 coomidas $265 2 cenas $265 + 15%</t>
        </r>
      </text>
    </comment>
    <comment ref="H18" authorId="1" shapeId="0" xr:uid="{E2C62E9B-A021-499C-B862-7249AAA70783}">
      <text>
        <r>
          <rPr>
            <b/>
            <sz val="9"/>
            <color rgb="FF000000"/>
            <rFont val="Tahoma"/>
            <family val="2"/>
          </rPr>
          <t>ORL-11603: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1 desayuno de $260 + 15% </t>
        </r>
      </text>
    </comment>
    <comment ref="H20" authorId="0" shapeId="0" xr:uid="{536E255D-9C99-4CF2-B783-746FA68DDE13}">
      <text>
        <r>
          <rPr>
            <b/>
            <sz val="9"/>
            <color rgb="FF000000"/>
            <rFont val="Tahoma"/>
            <family val="34"/>
          </rPr>
          <t xml:space="preserve">1 desayuno de $225 2 coomidas $265 2 cenas $265 + 15%
</t>
        </r>
      </text>
    </comment>
    <comment ref="H31" authorId="0" shapeId="0" xr:uid="{0A1D7AA5-D5DA-7E4F-855E-FA76D8403176}">
      <text>
        <r>
          <rPr>
            <b/>
            <sz val="9"/>
            <color rgb="FF000000"/>
            <rFont val="Tahoma"/>
            <family val="2"/>
          </rPr>
          <t>1 desayuno de $210, 1 comidas de $230, 1 cena de $230 por persona +15% servicio</t>
        </r>
      </text>
    </comment>
  </commentList>
</comments>
</file>

<file path=xl/sharedStrings.xml><?xml version="1.0" encoding="utf-8"?>
<sst xmlns="http://schemas.openxmlformats.org/spreadsheetml/2006/main" count="1496" uniqueCount="143">
  <si>
    <t xml:space="preserve">ALIMENTOS  </t>
  </si>
  <si>
    <t>HOSPEDAJE</t>
  </si>
  <si>
    <t>Rival</t>
  </si>
  <si>
    <t>Tipo</t>
  </si>
  <si>
    <t>Delegación</t>
  </si>
  <si>
    <t>Arbitraje</t>
  </si>
  <si>
    <t>Equipo de Sonido</t>
  </si>
  <si>
    <t>Arrendamiento Colomos</t>
  </si>
  <si>
    <t>Renta de Vallas</t>
  </si>
  <si>
    <t>Caldera Estadio</t>
  </si>
  <si>
    <t>Alimentos Servicio Catering Vestidor (Local)</t>
  </si>
  <si>
    <t>N° Habitaciones</t>
  </si>
  <si>
    <t>N° noches</t>
  </si>
  <si>
    <t>Costo Habitación</t>
  </si>
  <si>
    <t>Botones</t>
  </si>
  <si>
    <t>Camaristas</t>
  </si>
  <si>
    <t>ISH</t>
  </si>
  <si>
    <t>Estacionamiento</t>
  </si>
  <si>
    <t>Hospedaje</t>
  </si>
  <si>
    <t>Transporte</t>
  </si>
  <si>
    <t>Traslado Utilería</t>
  </si>
  <si>
    <t>Avión</t>
  </si>
  <si>
    <t>Staff</t>
  </si>
  <si>
    <t>Protocolo de Sanidad</t>
  </si>
  <si>
    <t>Sanitización</t>
  </si>
  <si>
    <t>Ambulancia</t>
  </si>
  <si>
    <t>Seguridad Partidos</t>
  </si>
  <si>
    <t>Crioterapia</t>
  </si>
  <si>
    <t>Pumas</t>
  </si>
  <si>
    <t>Visita</t>
  </si>
  <si>
    <t>Local</t>
  </si>
  <si>
    <t>Pachuca</t>
  </si>
  <si>
    <t>América</t>
  </si>
  <si>
    <t>Santos Laguna</t>
  </si>
  <si>
    <t>Toluca</t>
  </si>
  <si>
    <t>Tigres</t>
  </si>
  <si>
    <t>Monterrey</t>
  </si>
  <si>
    <t>Necaxa</t>
  </si>
  <si>
    <t>León</t>
  </si>
  <si>
    <t>Puebla</t>
  </si>
  <si>
    <t>Guadalajara</t>
  </si>
  <si>
    <t>Mazatlán</t>
  </si>
  <si>
    <t>Cruz Azul</t>
  </si>
  <si>
    <t>San Luis</t>
  </si>
  <si>
    <t>Gastos de Viaje</t>
  </si>
  <si>
    <t>Alimentos</t>
  </si>
  <si>
    <t>Concentración</t>
  </si>
  <si>
    <t>Catering</t>
  </si>
  <si>
    <t>Jornada</t>
  </si>
  <si>
    <t>Atlético de San Luis</t>
  </si>
  <si>
    <t>GASTOS DE VIAJE</t>
  </si>
  <si>
    <t>Chivas</t>
  </si>
  <si>
    <t>Concentraciones</t>
  </si>
  <si>
    <t>Fecha</t>
  </si>
  <si>
    <t>Enero</t>
  </si>
  <si>
    <t>Febrero</t>
  </si>
  <si>
    <t>Marzo</t>
  </si>
  <si>
    <t>Abril</t>
  </si>
  <si>
    <t>Mayo</t>
  </si>
  <si>
    <t>Junio</t>
  </si>
  <si>
    <t>ALIMENTOS</t>
  </si>
  <si>
    <t>Comedor Pre viaje</t>
  </si>
  <si>
    <t>Catering Colaciones</t>
  </si>
  <si>
    <t>Catering Colaciones - Box lunch Comidas Aeropuerto</t>
  </si>
  <si>
    <t>ENERO</t>
  </si>
  <si>
    <t>FEBRERO</t>
  </si>
  <si>
    <t>MARZO</t>
  </si>
  <si>
    <t>ABRIL</t>
  </si>
  <si>
    <t>14-16 ene</t>
  </si>
  <si>
    <t>21-23 ene</t>
  </si>
  <si>
    <t>11-13 feb</t>
  </si>
  <si>
    <t>18-20 feb</t>
  </si>
  <si>
    <t>25-27 feb</t>
  </si>
  <si>
    <t>4-6 mar</t>
  </si>
  <si>
    <t>11-13 mar</t>
  </si>
  <si>
    <t>18-20 mar</t>
  </si>
  <si>
    <t>1-3 abr</t>
  </si>
  <si>
    <t>8-10 abr</t>
  </si>
  <si>
    <t>15-17 abr</t>
  </si>
  <si>
    <t>22-24 abr</t>
  </si>
  <si>
    <t>25-27 mar</t>
  </si>
  <si>
    <t>4-6 feb</t>
  </si>
  <si>
    <t>7-9 ene</t>
  </si>
  <si>
    <t>UTILERIA</t>
  </si>
  <si>
    <t>Xolos</t>
  </si>
  <si>
    <t>TRANSPORTE</t>
  </si>
  <si>
    <t>ARBITRAJE</t>
  </si>
  <si>
    <t>Gastos Locales</t>
  </si>
  <si>
    <t>Seguridad Privada</t>
  </si>
  <si>
    <t>Staff Operativo</t>
  </si>
  <si>
    <t>Servicios CUJ</t>
  </si>
  <si>
    <t>Renta de Vallas Metálicas</t>
  </si>
  <si>
    <t>Arrendamiento Canchas Colomos</t>
  </si>
  <si>
    <t>Renta de Sonido</t>
  </si>
  <si>
    <t>28-30 ene</t>
  </si>
  <si>
    <t>Totales por rubro</t>
  </si>
  <si>
    <t>Totales por partido</t>
  </si>
  <si>
    <t>Transporte Terrestre</t>
  </si>
  <si>
    <t>Totales por Mes</t>
  </si>
  <si>
    <t>Alimentación x Persona</t>
  </si>
  <si>
    <t>Transporte OdM</t>
  </si>
  <si>
    <t>Transporte Terrestre - OdM</t>
  </si>
  <si>
    <t>Leones Negros UdeG</t>
  </si>
  <si>
    <t>Toluca Bancario</t>
  </si>
  <si>
    <t>Chivas Gigantera</t>
  </si>
  <si>
    <t>Tecos UAG</t>
  </si>
  <si>
    <t>CAREF</t>
  </si>
  <si>
    <t>Aves Blancas de Tepatitlán</t>
  </si>
  <si>
    <t>CAREF GDL</t>
  </si>
  <si>
    <t>CEFOR Pachuca GDL Azul</t>
  </si>
  <si>
    <t>Primera Guadalajara</t>
  </si>
  <si>
    <t>Leones Unión</t>
  </si>
  <si>
    <t>Selección CODE</t>
  </si>
  <si>
    <t>CEFOR Pachuca GDL</t>
  </si>
  <si>
    <t>Talentos</t>
  </si>
  <si>
    <t>Pachuca Tlaquepaque</t>
  </si>
  <si>
    <t>Necaxa Piloto</t>
  </si>
  <si>
    <t>Deportivo Oriente</t>
  </si>
  <si>
    <t>Atlas Ruso</t>
  </si>
  <si>
    <t>PRETEMPORADA</t>
  </si>
  <si>
    <t>TORNEO REGULAR</t>
  </si>
  <si>
    <t>FECHA</t>
  </si>
  <si>
    <t>Queretaro</t>
  </si>
  <si>
    <t>Santos</t>
  </si>
  <si>
    <t>Juarez</t>
  </si>
  <si>
    <t>Autobús</t>
  </si>
  <si>
    <t xml:space="preserve">Autobus </t>
  </si>
  <si>
    <t>Autobus</t>
  </si>
  <si>
    <t>Autboús</t>
  </si>
  <si>
    <t>Autbus</t>
  </si>
  <si>
    <t>AGOSTO</t>
  </si>
  <si>
    <t>SEPTIEMBRE</t>
  </si>
  <si>
    <t>OCTUBRE</t>
  </si>
  <si>
    <t>NOVIEMBRE</t>
  </si>
  <si>
    <t xml:space="preserve">SUGERENCIA LEÓN/QUERETARO/SLP </t>
  </si>
  <si>
    <t>N Habitaciones</t>
  </si>
  <si>
    <t>Cena post partido</t>
  </si>
  <si>
    <t>CENA POST PARTIDO</t>
  </si>
  <si>
    <t>Julio</t>
  </si>
  <si>
    <t>JULIO</t>
  </si>
  <si>
    <t xml:space="preserve"> </t>
  </si>
  <si>
    <t xml:space="preserve">Gastos de viaje </t>
  </si>
  <si>
    <t>Material femenil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</si>
</sst>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8" formatCode="&quot;$&quot;#,##0.00;[Red]\-&quot;$&quot;#,##0.00"/>
    <numFmt numFmtId="44" formatCode="_-&quot;$&quot;* #,##0.00_-;\-&quot;$&quot;* #,##0.00_-;_-&quot;$&quot;* &quot;-&quot;??_-;_-@_-"/>
    <numFmt numFmtId="43" formatCode="_-* #,##0.00_-;\-* #,##0.00_-;_-* &quot;-&quot;??_-;_-@_-"/>
    <numFmt numFmtId="164" formatCode="&quot;$&quot;#,##0.00"/>
    <numFmt numFmtId="165" formatCode="_-* #,##0_-;\-* #,##0_-;_-* &quot;-&quot;??_-;_-@_-"/>
    <numFmt numFmtId="166" formatCode="&quot;$&quot;#,##0"/>
    <numFmt numFmtId="167" formatCode="_-* #,##0.0_-;\-* #,##0.0_-;_-* &quot;-&quot;??_-;_-@_-"/>
  </numFmts>
  <fonts count="39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9"/>
      <color rgb="FF000000"/>
      <name val="Calibri"/>
      <family val="2"/>
    </font>
    <font>
      <sz val="9"/>
      <color rgb="FF000000"/>
      <name val="Calibri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 tint="0.499984740745262"/>
      <name val="Calibri"/>
      <family val="2"/>
      <scheme val="minor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2"/>
      <name val="Calibri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4"/>
      <color theme="3"/>
      <name val="Calibri"/>
      <family val="2"/>
      <scheme val="minor"/>
    </font>
    <font>
      <sz val="16"/>
      <color theme="3"/>
      <name val="Calibri"/>
      <family val="2"/>
      <scheme val="minor"/>
    </font>
    <font>
      <sz val="20"/>
      <color theme="3"/>
      <name val="Calibri"/>
      <family val="2"/>
    </font>
    <font>
      <sz val="20"/>
      <color theme="3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b/>
      <sz val="16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8"/>
      <color theme="1"/>
      <name val="Calibri"/>
      <family val="2"/>
    </font>
    <font>
      <sz val="14"/>
      <color theme="3"/>
      <name val="Calibri"/>
      <family val="2"/>
    </font>
    <font>
      <sz val="12"/>
      <color rgb="FF222222"/>
      <name val="Verdana"/>
      <family val="2"/>
    </font>
    <font>
      <b/>
      <sz val="9"/>
      <color rgb="FF000000"/>
      <name val="Tahoma"/>
      <family val="2"/>
    </font>
    <font>
      <sz val="10"/>
      <color rgb="FF000000"/>
      <name val="Tahoma"/>
      <family val="2"/>
    </font>
    <font>
      <b/>
      <sz val="10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b/>
      <sz val="10"/>
      <color rgb="FF000000"/>
      <name val="Tahoma"/>
      <family val="2"/>
    </font>
    <font>
      <b/>
      <sz val="18"/>
      <color rgb="FF000000"/>
      <name val="Calibri"/>
      <family val="2"/>
      <scheme val="minor"/>
    </font>
    <font>
      <sz val="9"/>
      <color rgb="FF000000"/>
      <name val="Tahoma"/>
      <family val="2"/>
    </font>
    <font>
      <b/>
      <sz val="9"/>
      <color rgb="FF000000"/>
      <name val="Tahoma"/>
      <family val="34"/>
    </font>
    <font>
      <b/>
      <sz val="10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43" fontId="22" fillId="0" borderId="0" applyFont="0" applyFill="0" applyBorder="0" applyAlignment="0" applyProtection="0"/>
    <xf numFmtId="0" fontId="22" fillId="0" borderId="0"/>
    <xf numFmtId="43" fontId="22" fillId="0" borderId="0" applyFont="0" applyFill="0" applyBorder="0" applyAlignment="0" applyProtection="0"/>
    <xf numFmtId="44" fontId="22" fillId="0" borderId="0" applyFont="0" applyFill="0" applyBorder="0" applyAlignment="0" applyProtection="0"/>
  </cellStyleXfs>
  <cellXfs count="149">
    <xf numFmtId="0" fontId="0" fillId="0" borderId="0" xfId="0"/>
    <xf numFmtId="0" fontId="1" fillId="0" borderId="0" xfId="1"/>
    <xf numFmtId="0" fontId="4" fillId="0" borderId="0" xfId="0" applyFont="1"/>
    <xf numFmtId="0" fontId="5" fillId="0" borderId="0" xfId="0" applyFont="1"/>
    <xf numFmtId="0" fontId="5" fillId="0" borderId="1" xfId="0" applyFont="1" applyBorder="1"/>
    <xf numFmtId="165" fontId="5" fillId="0" borderId="1" xfId="0" applyNumberFormat="1" applyFont="1" applyBorder="1"/>
    <xf numFmtId="0" fontId="6" fillId="0" borderId="1" xfId="0" applyFont="1" applyBorder="1" applyAlignment="1">
      <alignment horizontal="right"/>
    </xf>
    <xf numFmtId="0" fontId="8" fillId="0" borderId="0" xfId="0" applyFont="1"/>
    <xf numFmtId="0" fontId="8" fillId="0" borderId="1" xfId="0" applyFont="1" applyBorder="1"/>
    <xf numFmtId="0" fontId="8" fillId="0" borderId="1" xfId="0" applyFont="1" applyBorder="1" applyAlignment="1">
      <alignment horizontal="center"/>
    </xf>
    <xf numFmtId="164" fontId="8" fillId="0" borderId="1" xfId="0" applyNumberFormat="1" applyFont="1" applyBorder="1"/>
    <xf numFmtId="0" fontId="7" fillId="0" borderId="0" xfId="0" applyFont="1" applyAlignment="1">
      <alignment horizont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/>
    </xf>
    <xf numFmtId="0" fontId="7" fillId="0" borderId="0" xfId="0" applyFont="1"/>
    <xf numFmtId="0" fontId="8" fillId="0" borderId="1" xfId="0" applyFont="1" applyBorder="1" applyAlignment="1">
      <alignment vertical="center"/>
    </xf>
    <xf numFmtId="0" fontId="7" fillId="0" borderId="1" xfId="0" applyFont="1" applyBorder="1" applyAlignment="1">
      <alignment horizontal="left"/>
    </xf>
    <xf numFmtId="165" fontId="8" fillId="0" borderId="1" xfId="0" applyNumberFormat="1" applyFont="1" applyBorder="1"/>
    <xf numFmtId="165" fontId="8" fillId="0" borderId="0" xfId="0" applyNumberFormat="1" applyFont="1"/>
    <xf numFmtId="43" fontId="8" fillId="0" borderId="0" xfId="0" applyNumberFormat="1" applyFont="1"/>
    <xf numFmtId="0" fontId="1" fillId="0" borderId="1" xfId="1" applyBorder="1"/>
    <xf numFmtId="0" fontId="8" fillId="0" borderId="0" xfId="1" applyFont="1"/>
    <xf numFmtId="0" fontId="9" fillId="0" borderId="0" xfId="1" applyFont="1" applyAlignment="1">
      <alignment horizontal="right"/>
    </xf>
    <xf numFmtId="0" fontId="8" fillId="0" borderId="1" xfId="1" applyFont="1" applyBorder="1"/>
    <xf numFmtId="165" fontId="8" fillId="0" borderId="8" xfId="0" applyNumberFormat="1" applyFont="1" applyBorder="1"/>
    <xf numFmtId="0" fontId="5" fillId="0" borderId="4" xfId="0" applyFont="1" applyBorder="1"/>
    <xf numFmtId="0" fontId="8" fillId="0" borderId="4" xfId="0" applyFont="1" applyBorder="1"/>
    <xf numFmtId="0" fontId="8" fillId="0" borderId="10" xfId="0" applyFont="1" applyBorder="1"/>
    <xf numFmtId="165" fontId="8" fillId="0" borderId="16" xfId="0" applyNumberFormat="1" applyFont="1" applyBorder="1"/>
    <xf numFmtId="0" fontId="5" fillId="0" borderId="6" xfId="0" applyFont="1" applyBorder="1"/>
    <xf numFmtId="165" fontId="8" fillId="0" borderId="6" xfId="0" applyNumberFormat="1" applyFont="1" applyBorder="1"/>
    <xf numFmtId="165" fontId="8" fillId="0" borderId="11" xfId="0" applyNumberFormat="1" applyFont="1" applyBorder="1"/>
    <xf numFmtId="0" fontId="11" fillId="0" borderId="1" xfId="0" applyFont="1" applyBorder="1" applyAlignment="1">
      <alignment horizontal="center"/>
    </xf>
    <xf numFmtId="0" fontId="8" fillId="0" borderId="8" xfId="0" applyFont="1" applyBorder="1"/>
    <xf numFmtId="0" fontId="8" fillId="0" borderId="8" xfId="0" applyFont="1" applyBorder="1" applyAlignment="1">
      <alignment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left"/>
    </xf>
    <xf numFmtId="0" fontId="2" fillId="0" borderId="0" xfId="1" applyFont="1" applyAlignment="1">
      <alignment horizontal="center"/>
    </xf>
    <xf numFmtId="0" fontId="2" fillId="0" borderId="0" xfId="1" applyFont="1"/>
    <xf numFmtId="0" fontId="3" fillId="0" borderId="0" xfId="1" applyFont="1" applyAlignment="1">
      <alignment horizontal="center"/>
    </xf>
    <xf numFmtId="0" fontId="7" fillId="0" borderId="1" xfId="0" applyFont="1" applyBorder="1" applyAlignment="1">
      <alignment horizontal="center" vertical="center"/>
    </xf>
    <xf numFmtId="165" fontId="5" fillId="5" borderId="8" xfId="0" applyNumberFormat="1" applyFont="1" applyFill="1" applyBorder="1"/>
    <xf numFmtId="165" fontId="5" fillId="5" borderId="1" xfId="0" applyNumberFormat="1" applyFont="1" applyFill="1" applyBorder="1"/>
    <xf numFmtId="0" fontId="12" fillId="3" borderId="0" xfId="0" applyFont="1" applyFill="1" applyAlignment="1">
      <alignment horizontal="center" vertical="center" wrapText="1"/>
    </xf>
    <xf numFmtId="0" fontId="17" fillId="0" borderId="1" xfId="0" applyFont="1" applyBorder="1" applyAlignment="1">
      <alignment horizontal="center"/>
    </xf>
    <xf numFmtId="0" fontId="14" fillId="3" borderId="0" xfId="0" applyFont="1" applyFill="1" applyAlignment="1">
      <alignment horizontal="center"/>
    </xf>
    <xf numFmtId="0" fontId="5" fillId="0" borderId="3" xfId="0" applyFont="1" applyBorder="1"/>
    <xf numFmtId="0" fontId="5" fillId="0" borderId="15" xfId="0" applyFont="1" applyBorder="1"/>
    <xf numFmtId="0" fontId="5" fillId="0" borderId="15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left" vertical="center" wrapText="1"/>
    </xf>
    <xf numFmtId="0" fontId="21" fillId="6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vertical="center"/>
    </xf>
    <xf numFmtId="0" fontId="7" fillId="5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left"/>
    </xf>
    <xf numFmtId="0" fontId="8" fillId="5" borderId="1" xfId="0" applyFont="1" applyFill="1" applyBorder="1" applyAlignment="1">
      <alignment horizontal="center"/>
    </xf>
    <xf numFmtId="0" fontId="8" fillId="5" borderId="1" xfId="0" applyFont="1" applyFill="1" applyBorder="1"/>
    <xf numFmtId="0" fontId="11" fillId="5" borderId="1" xfId="0" applyFont="1" applyFill="1" applyBorder="1" applyAlignment="1">
      <alignment horizontal="center"/>
    </xf>
    <xf numFmtId="165" fontId="8" fillId="5" borderId="1" xfId="0" applyNumberFormat="1" applyFont="1" applyFill="1" applyBorder="1"/>
    <xf numFmtId="164" fontId="8" fillId="5" borderId="1" xfId="0" applyNumberFormat="1" applyFont="1" applyFill="1" applyBorder="1"/>
    <xf numFmtId="0" fontId="4" fillId="7" borderId="0" xfId="0" applyFont="1" applyFill="1"/>
    <xf numFmtId="165" fontId="4" fillId="7" borderId="0" xfId="0" applyNumberFormat="1" applyFont="1" applyFill="1"/>
    <xf numFmtId="165" fontId="8" fillId="0" borderId="4" xfId="0" applyNumberFormat="1" applyFont="1" applyBorder="1"/>
    <xf numFmtId="165" fontId="8" fillId="0" borderId="10" xfId="0" applyNumberFormat="1" applyFont="1" applyBorder="1"/>
    <xf numFmtId="0" fontId="8" fillId="0" borderId="16" xfId="0" applyFont="1" applyBorder="1"/>
    <xf numFmtId="0" fontId="8" fillId="0" borderId="6" xfId="0" applyFont="1" applyBorder="1"/>
    <xf numFmtId="0" fontId="8" fillId="0" borderId="11" xfId="0" applyFont="1" applyBorder="1"/>
    <xf numFmtId="43" fontId="4" fillId="0" borderId="0" xfId="2" applyFont="1" applyFill="1"/>
    <xf numFmtId="0" fontId="21" fillId="6" borderId="7" xfId="0" applyFont="1" applyFill="1" applyBorder="1" applyAlignment="1">
      <alignment horizontal="center" vertical="center" wrapText="1"/>
    </xf>
    <xf numFmtId="0" fontId="4" fillId="7" borderId="0" xfId="0" applyFont="1" applyFill="1" applyAlignment="1">
      <alignment horizontal="right"/>
    </xf>
    <xf numFmtId="165" fontId="4" fillId="6" borderId="0" xfId="0" applyNumberFormat="1" applyFont="1" applyFill="1"/>
    <xf numFmtId="0" fontId="10" fillId="5" borderId="1" xfId="1" applyFont="1" applyFill="1" applyBorder="1" applyAlignment="1">
      <alignment horizontal="center"/>
    </xf>
    <xf numFmtId="0" fontId="10" fillId="0" borderId="1" xfId="1" applyFont="1" applyBorder="1" applyAlignment="1">
      <alignment horizontal="center"/>
    </xf>
    <xf numFmtId="0" fontId="9" fillId="0" borderId="8" xfId="1" applyFont="1" applyBorder="1" applyAlignment="1">
      <alignment horizontal="center"/>
    </xf>
    <xf numFmtId="0" fontId="9" fillId="0" borderId="2" xfId="1" applyFont="1" applyBorder="1"/>
    <xf numFmtId="0" fontId="10" fillId="0" borderId="2" xfId="1" applyFont="1" applyBorder="1" applyAlignment="1">
      <alignment horizontal="center"/>
    </xf>
    <xf numFmtId="0" fontId="9" fillId="0" borderId="1" xfId="1" applyFont="1" applyBorder="1" applyAlignment="1">
      <alignment horizontal="center"/>
    </xf>
    <xf numFmtId="0" fontId="10" fillId="0" borderId="14" xfId="1" applyFont="1" applyBorder="1" applyAlignment="1">
      <alignment horizontal="center"/>
    </xf>
    <xf numFmtId="0" fontId="9" fillId="5" borderId="1" xfId="1" applyFont="1" applyFill="1" applyBorder="1" applyAlignment="1">
      <alignment horizontal="center"/>
    </xf>
    <xf numFmtId="0" fontId="9" fillId="5" borderId="1" xfId="1" applyFont="1" applyFill="1" applyBorder="1"/>
    <xf numFmtId="0" fontId="9" fillId="5" borderId="2" xfId="1" applyFont="1" applyFill="1" applyBorder="1"/>
    <xf numFmtId="0" fontId="10" fillId="5" borderId="2" xfId="1" applyFont="1" applyFill="1" applyBorder="1" applyAlignment="1">
      <alignment horizontal="center"/>
    </xf>
    <xf numFmtId="0" fontId="10" fillId="5" borderId="14" xfId="1" applyFont="1" applyFill="1" applyBorder="1" applyAlignment="1">
      <alignment horizontal="center"/>
    </xf>
    <xf numFmtId="0" fontId="1" fillId="5" borderId="1" xfId="1" applyFill="1" applyBorder="1"/>
    <xf numFmtId="43" fontId="8" fillId="5" borderId="1" xfId="0" applyNumberFormat="1" applyFont="1" applyFill="1" applyBorder="1" applyAlignment="1">
      <alignment horizontal="center"/>
    </xf>
    <xf numFmtId="165" fontId="4" fillId="0" borderId="0" xfId="0" applyNumberFormat="1" applyFont="1"/>
    <xf numFmtId="43" fontId="8" fillId="5" borderId="1" xfId="2" applyFont="1" applyFill="1" applyBorder="1"/>
    <xf numFmtId="165" fontId="8" fillId="5" borderId="1" xfId="2" applyNumberFormat="1" applyFont="1" applyFill="1" applyBorder="1"/>
    <xf numFmtId="165" fontId="8" fillId="0" borderId="0" xfId="2" applyNumberFormat="1" applyFont="1" applyFill="1" applyBorder="1"/>
    <xf numFmtId="165" fontId="5" fillId="5" borderId="1" xfId="2" applyNumberFormat="1" applyFont="1" applyFill="1" applyBorder="1"/>
    <xf numFmtId="0" fontId="8" fillId="5" borderId="7" xfId="0" applyFont="1" applyFill="1" applyBorder="1"/>
    <xf numFmtId="165" fontId="8" fillId="0" borderId="8" xfId="2" applyNumberFormat="1" applyFont="1" applyFill="1" applyBorder="1"/>
    <xf numFmtId="165" fontId="8" fillId="0" borderId="1" xfId="2" applyNumberFormat="1" applyFont="1" applyFill="1" applyBorder="1"/>
    <xf numFmtId="167" fontId="8" fillId="5" borderId="1" xfId="2" applyNumberFormat="1" applyFont="1" applyFill="1" applyBorder="1"/>
    <xf numFmtId="165" fontId="1" fillId="5" borderId="1" xfId="2" applyNumberFormat="1" applyFont="1" applyFill="1" applyBorder="1"/>
    <xf numFmtId="165" fontId="8" fillId="5" borderId="1" xfId="2" applyNumberFormat="1" applyFont="1" applyFill="1" applyBorder="1" applyAlignment="1">
      <alignment horizontal="center"/>
    </xf>
    <xf numFmtId="165" fontId="8" fillId="0" borderId="1" xfId="1" applyNumberFormat="1" applyFont="1" applyBorder="1"/>
    <xf numFmtId="166" fontId="8" fillId="0" borderId="1" xfId="0" applyNumberFormat="1" applyFont="1" applyBorder="1"/>
    <xf numFmtId="165" fontId="8" fillId="0" borderId="6" xfId="1" applyNumberFormat="1" applyFont="1" applyBorder="1"/>
    <xf numFmtId="165" fontId="8" fillId="0" borderId="0" xfId="2" applyNumberFormat="1" applyFont="1" applyFill="1"/>
    <xf numFmtId="165" fontId="8" fillId="0" borderId="0" xfId="2" applyNumberFormat="1" applyFont="1"/>
    <xf numFmtId="165" fontId="4" fillId="6" borderId="1" xfId="2" applyNumberFormat="1" applyFont="1" applyFill="1" applyBorder="1"/>
    <xf numFmtId="0" fontId="13" fillId="6" borderId="1" xfId="0" applyFont="1" applyFill="1" applyBorder="1" applyAlignment="1">
      <alignment horizontal="center" vertical="center" wrapText="1"/>
    </xf>
    <xf numFmtId="165" fontId="8" fillId="0" borderId="12" xfId="0" applyNumberFormat="1" applyFont="1" applyBorder="1"/>
    <xf numFmtId="0" fontId="8" fillId="0" borderId="12" xfId="0" applyFont="1" applyBorder="1"/>
    <xf numFmtId="43" fontId="4" fillId="6" borderId="1" xfId="2" applyFont="1" applyFill="1" applyBorder="1"/>
    <xf numFmtId="0" fontId="8" fillId="5" borderId="12" xfId="0" applyFont="1" applyFill="1" applyBorder="1"/>
    <xf numFmtId="165" fontId="8" fillId="0" borderId="1" xfId="2" applyNumberFormat="1" applyFont="1" applyBorder="1"/>
    <xf numFmtId="165" fontId="7" fillId="0" borderId="0" xfId="2" applyNumberFormat="1" applyFont="1" applyFill="1" applyBorder="1"/>
    <xf numFmtId="165" fontId="4" fillId="0" borderId="0" xfId="4" applyNumberFormat="1" applyFont="1" applyAlignment="1">
      <alignment horizontal="left" indent="4"/>
    </xf>
    <xf numFmtId="0" fontId="4" fillId="0" borderId="0" xfId="0" applyFont="1" applyAlignment="1">
      <alignment horizontal="right"/>
    </xf>
    <xf numFmtId="0" fontId="26" fillId="0" borderId="0" xfId="0" applyFont="1" applyAlignment="1">
      <alignment horizontal="center"/>
    </xf>
    <xf numFmtId="0" fontId="25" fillId="0" borderId="0" xfId="0" applyFont="1" applyAlignment="1">
      <alignment horizontal="center" vertical="top"/>
    </xf>
    <xf numFmtId="0" fontId="25" fillId="0" borderId="0" xfId="0" applyFont="1" applyAlignment="1">
      <alignment horizontal="left"/>
    </xf>
    <xf numFmtId="164" fontId="26" fillId="0" borderId="0" xfId="0" applyNumberFormat="1" applyFont="1" applyAlignment="1">
      <alignment horizontal="center"/>
    </xf>
    <xf numFmtId="165" fontId="26" fillId="8" borderId="0" xfId="2" applyNumberFormat="1" applyFont="1" applyFill="1" applyBorder="1" applyAlignment="1">
      <alignment horizontal="right"/>
    </xf>
    <xf numFmtId="0" fontId="17" fillId="0" borderId="13" xfId="0" applyFont="1" applyBorder="1" applyAlignment="1">
      <alignment horizontal="center"/>
    </xf>
    <xf numFmtId="0" fontId="15" fillId="2" borderId="20" xfId="0" applyFont="1" applyFill="1" applyBorder="1" applyAlignment="1">
      <alignment horizontal="center"/>
    </xf>
    <xf numFmtId="0" fontId="17" fillId="0" borderId="17" xfId="0" applyFont="1" applyBorder="1" applyAlignment="1">
      <alignment horizontal="center"/>
    </xf>
    <xf numFmtId="0" fontId="8" fillId="9" borderId="1" xfId="0" applyFont="1" applyFill="1" applyBorder="1"/>
    <xf numFmtId="165" fontId="8" fillId="9" borderId="1" xfId="0" applyNumberFormat="1" applyFont="1" applyFill="1" applyBorder="1"/>
    <xf numFmtId="165" fontId="4" fillId="9" borderId="1" xfId="2" applyNumberFormat="1" applyFont="1" applyFill="1" applyBorder="1"/>
    <xf numFmtId="0" fontId="29" fillId="0" borderId="0" xfId="0" applyFont="1"/>
    <xf numFmtId="0" fontId="7" fillId="10" borderId="1" xfId="0" applyFont="1" applyFill="1" applyBorder="1"/>
    <xf numFmtId="8" fontId="8" fillId="0" borderId="1" xfId="0" applyNumberFormat="1" applyFont="1" applyBorder="1"/>
    <xf numFmtId="0" fontId="20" fillId="4" borderId="19" xfId="0" applyFont="1" applyFill="1" applyBorder="1" applyAlignment="1">
      <alignment horizontal="center" vertical="center" wrapText="1"/>
    </xf>
    <xf numFmtId="0" fontId="20" fillId="4" borderId="18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17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15" fillId="4" borderId="0" xfId="0" applyFont="1" applyFill="1" applyAlignment="1">
      <alignment horizontal="center"/>
    </xf>
    <xf numFmtId="0" fontId="15" fillId="2" borderId="20" xfId="0" applyFont="1" applyFill="1" applyBorder="1" applyAlignment="1">
      <alignment horizontal="center"/>
    </xf>
    <xf numFmtId="0" fontId="18" fillId="0" borderId="1" xfId="1" applyFont="1" applyBorder="1" applyAlignment="1">
      <alignment horizontal="center" vertical="center"/>
    </xf>
    <xf numFmtId="0" fontId="18" fillId="0" borderId="7" xfId="1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8" fillId="0" borderId="7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 wrapText="1"/>
    </xf>
    <xf numFmtId="0" fontId="19" fillId="0" borderId="7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16" fillId="0" borderId="7" xfId="0" applyFont="1" applyBorder="1" applyAlignment="1">
      <alignment horizontal="center" vertical="center" wrapText="1"/>
    </xf>
    <xf numFmtId="0" fontId="17" fillId="0" borderId="12" xfId="0" applyFont="1" applyBorder="1" applyAlignment="1">
      <alignment horizontal="center"/>
    </xf>
    <xf numFmtId="0" fontId="17" fillId="0" borderId="17" xfId="0" applyFont="1" applyBorder="1" applyAlignment="1">
      <alignment horizontal="center"/>
    </xf>
    <xf numFmtId="0" fontId="17" fillId="0" borderId="13" xfId="0" applyFont="1" applyBorder="1" applyAlignment="1">
      <alignment horizontal="center"/>
    </xf>
    <xf numFmtId="0" fontId="7" fillId="0" borderId="7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27" fillId="0" borderId="0" xfId="0" applyFont="1" applyAlignment="1">
      <alignment horizontal="center"/>
    </xf>
    <xf numFmtId="0" fontId="28" fillId="0" borderId="1" xfId="1" applyFont="1" applyBorder="1" applyAlignment="1">
      <alignment horizontal="center" vertical="center"/>
    </xf>
    <xf numFmtId="0" fontId="24" fillId="0" borderId="0" xfId="0" applyFont="1" applyAlignment="1">
      <alignment horizontal="center"/>
    </xf>
    <xf numFmtId="0" fontId="26" fillId="8" borderId="0" xfId="0" applyFont="1" applyFill="1" applyAlignment="1">
      <alignment horizontal="right"/>
    </xf>
  </cellXfs>
  <cellStyles count="6">
    <cellStyle name="Millares" xfId="2" builtinId="3"/>
    <cellStyle name="Millares 2" xfId="4" xr:uid="{78DA53B0-0FDF-45EE-8FA0-205AC6DC55C9}"/>
    <cellStyle name="Moneda 2" xfId="5" xr:uid="{FE627499-3F44-4F87-BCFE-B151AD075C78}"/>
    <cellStyle name="Normal" xfId="0" builtinId="0"/>
    <cellStyle name="Normal 3 2" xfId="1" xr:uid="{97744170-89C6-400D-B60A-7FFB974DE0C5}"/>
    <cellStyle name="Normal 84" xfId="3" xr:uid="{5F2116D2-35F1-43EB-A6FD-8F3CC602D97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228600</xdr:colOff>
      <xdr:row>2</xdr:row>
      <xdr:rowOff>57150</xdr:rowOff>
    </xdr:from>
    <xdr:ext cx="850106" cy="967399"/>
    <xdr:pic>
      <xdr:nvPicPr>
        <xdr:cNvPr id="2" name="Imagen 1">
          <a:extLst>
            <a:ext uri="{FF2B5EF4-FFF2-40B4-BE49-F238E27FC236}">
              <a16:creationId xmlns:a16="http://schemas.microsoft.com/office/drawing/2014/main" id="{BC85C728-0038-4850-923F-E7D0FDEC220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573" t="16001" r="10562" b="15228"/>
        <a:stretch/>
      </xdr:blipFill>
      <xdr:spPr>
        <a:xfrm>
          <a:off x="228600" y="438150"/>
          <a:ext cx="850106" cy="967399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228600</xdr:colOff>
      <xdr:row>2</xdr:row>
      <xdr:rowOff>57150</xdr:rowOff>
    </xdr:from>
    <xdr:ext cx="850106" cy="967399"/>
    <xdr:pic>
      <xdr:nvPicPr>
        <xdr:cNvPr id="2" name="Imagen 1">
          <a:extLst>
            <a:ext uri="{FF2B5EF4-FFF2-40B4-BE49-F238E27FC236}">
              <a16:creationId xmlns:a16="http://schemas.microsoft.com/office/drawing/2014/main" id="{8188B833-FDC6-4670-8A13-DDFA6AEC8A6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573" t="16001" r="10562" b="15228"/>
        <a:stretch/>
      </xdr:blipFill>
      <xdr:spPr>
        <a:xfrm>
          <a:off x="228600" y="438150"/>
          <a:ext cx="850106" cy="967399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228600</xdr:colOff>
      <xdr:row>2</xdr:row>
      <xdr:rowOff>57150</xdr:rowOff>
    </xdr:from>
    <xdr:ext cx="850106" cy="967399"/>
    <xdr:pic>
      <xdr:nvPicPr>
        <xdr:cNvPr id="2" name="Imagen 1">
          <a:extLst>
            <a:ext uri="{FF2B5EF4-FFF2-40B4-BE49-F238E27FC236}">
              <a16:creationId xmlns:a16="http://schemas.microsoft.com/office/drawing/2014/main" id="{D491F836-24E1-488A-BA1D-09E98B5A883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573" t="16001" r="10562" b="15228"/>
        <a:stretch/>
      </xdr:blipFill>
      <xdr:spPr>
        <a:xfrm>
          <a:off x="228600" y="438150"/>
          <a:ext cx="850106" cy="967399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228600</xdr:colOff>
      <xdr:row>2</xdr:row>
      <xdr:rowOff>57150</xdr:rowOff>
    </xdr:from>
    <xdr:ext cx="850106" cy="967399"/>
    <xdr:pic>
      <xdr:nvPicPr>
        <xdr:cNvPr id="2" name="Imagen 1">
          <a:extLst>
            <a:ext uri="{FF2B5EF4-FFF2-40B4-BE49-F238E27FC236}">
              <a16:creationId xmlns:a16="http://schemas.microsoft.com/office/drawing/2014/main" id="{0036A9E8-CE0E-48B2-AE17-848B0592CA7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573" t="16001" r="10562" b="15228"/>
        <a:stretch/>
      </xdr:blipFill>
      <xdr:spPr>
        <a:xfrm>
          <a:off x="228600" y="438150"/>
          <a:ext cx="850106" cy="967399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228600</xdr:colOff>
      <xdr:row>2</xdr:row>
      <xdr:rowOff>57150</xdr:rowOff>
    </xdr:from>
    <xdr:ext cx="850106" cy="967399"/>
    <xdr:pic>
      <xdr:nvPicPr>
        <xdr:cNvPr id="2" name="Imagen 1">
          <a:extLst>
            <a:ext uri="{FF2B5EF4-FFF2-40B4-BE49-F238E27FC236}">
              <a16:creationId xmlns:a16="http://schemas.microsoft.com/office/drawing/2014/main" id="{FD928CB8-4003-4F69-8112-94E4442EC29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573" t="16001" r="10562" b="15228"/>
        <a:stretch/>
      </xdr:blipFill>
      <xdr:spPr>
        <a:xfrm>
          <a:off x="228600" y="438150"/>
          <a:ext cx="850106" cy="967399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228600</xdr:colOff>
      <xdr:row>2</xdr:row>
      <xdr:rowOff>57150</xdr:rowOff>
    </xdr:from>
    <xdr:ext cx="850106" cy="967399"/>
    <xdr:pic>
      <xdr:nvPicPr>
        <xdr:cNvPr id="2" name="Imagen 1">
          <a:extLst>
            <a:ext uri="{FF2B5EF4-FFF2-40B4-BE49-F238E27FC236}">
              <a16:creationId xmlns:a16="http://schemas.microsoft.com/office/drawing/2014/main" id="{66C06E3C-DB08-46F5-AF01-4898E0A2A22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573" t="16001" r="10562" b="15228"/>
        <a:stretch/>
      </xdr:blipFill>
      <xdr:spPr>
        <a:xfrm>
          <a:off x="228600" y="438150"/>
          <a:ext cx="850106" cy="967399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228600</xdr:colOff>
      <xdr:row>2</xdr:row>
      <xdr:rowOff>57150</xdr:rowOff>
    </xdr:from>
    <xdr:ext cx="850106" cy="967399"/>
    <xdr:pic>
      <xdr:nvPicPr>
        <xdr:cNvPr id="2" name="Imagen 1">
          <a:extLst>
            <a:ext uri="{FF2B5EF4-FFF2-40B4-BE49-F238E27FC236}">
              <a16:creationId xmlns:a16="http://schemas.microsoft.com/office/drawing/2014/main" id="{D065AEB1-CDB0-463D-9BC2-C2CF027405F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573" t="16001" r="10562" b="15228"/>
        <a:stretch/>
      </xdr:blipFill>
      <xdr:spPr>
        <a:xfrm>
          <a:off x="228600" y="438150"/>
          <a:ext cx="850106" cy="967399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228600</xdr:colOff>
      <xdr:row>2</xdr:row>
      <xdr:rowOff>57150</xdr:rowOff>
    </xdr:from>
    <xdr:ext cx="850106" cy="967399"/>
    <xdr:pic>
      <xdr:nvPicPr>
        <xdr:cNvPr id="2" name="Imagen 1">
          <a:extLst>
            <a:ext uri="{FF2B5EF4-FFF2-40B4-BE49-F238E27FC236}">
              <a16:creationId xmlns:a16="http://schemas.microsoft.com/office/drawing/2014/main" id="{BBD9B324-8EA7-4153-8811-8DD7D39AC60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573" t="16001" r="10562" b="15228"/>
        <a:stretch/>
      </xdr:blipFill>
      <xdr:spPr>
        <a:xfrm>
          <a:off x="228600" y="438150"/>
          <a:ext cx="850106" cy="967399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228600</xdr:colOff>
      <xdr:row>2</xdr:row>
      <xdr:rowOff>57150</xdr:rowOff>
    </xdr:from>
    <xdr:ext cx="850106" cy="967399"/>
    <xdr:pic>
      <xdr:nvPicPr>
        <xdr:cNvPr id="2" name="Imagen 1">
          <a:extLst>
            <a:ext uri="{FF2B5EF4-FFF2-40B4-BE49-F238E27FC236}">
              <a16:creationId xmlns:a16="http://schemas.microsoft.com/office/drawing/2014/main" id="{4C8297F1-B442-4B9D-84A6-6C531B45F60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573" t="16001" r="10562" b="15228"/>
        <a:stretch/>
      </xdr:blipFill>
      <xdr:spPr>
        <a:xfrm>
          <a:off x="228600" y="438150"/>
          <a:ext cx="850106" cy="967399"/>
        </a:xfrm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47625</xdr:rowOff>
    </xdr:from>
    <xdr:to>
      <xdr:col>1</xdr:col>
      <xdr:colOff>857250</xdr:colOff>
      <xdr:row>3</xdr:row>
      <xdr:rowOff>753087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2D350CE-CB22-4D4D-B122-628F506816D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573" t="16001" r="10562" b="15228"/>
        <a:stretch/>
      </xdr:blipFill>
      <xdr:spPr>
        <a:xfrm>
          <a:off x="276225" y="514350"/>
          <a:ext cx="857250" cy="972162"/>
        </a:xfrm>
        <a:prstGeom prst="rect">
          <a:avLst/>
        </a:prstGeom>
      </xdr:spPr>
    </xdr:pic>
    <xdr:clientData/>
  </xdr:twoCellAnchor>
  <xdr:oneCellAnchor>
    <xdr:from>
      <xdr:col>1</xdr:col>
      <xdr:colOff>0</xdr:colOff>
      <xdr:row>27</xdr:row>
      <xdr:rowOff>47625</xdr:rowOff>
    </xdr:from>
    <xdr:ext cx="857250" cy="967400"/>
    <xdr:pic>
      <xdr:nvPicPr>
        <xdr:cNvPr id="3" name="Imagen 2">
          <a:extLst>
            <a:ext uri="{FF2B5EF4-FFF2-40B4-BE49-F238E27FC236}">
              <a16:creationId xmlns:a16="http://schemas.microsoft.com/office/drawing/2014/main" id="{0093B815-5C86-4A42-991E-C2B2E3D01D0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573" t="16001" r="10562" b="15228"/>
        <a:stretch/>
      </xdr:blipFill>
      <xdr:spPr>
        <a:xfrm>
          <a:off x="250031" y="523875"/>
          <a:ext cx="857250" cy="967400"/>
        </a:xfrm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47625</xdr:rowOff>
    </xdr:from>
    <xdr:to>
      <xdr:col>1</xdr:col>
      <xdr:colOff>857250</xdr:colOff>
      <xdr:row>3</xdr:row>
      <xdr:rowOff>753087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7C04F08-EF1C-493D-9B8C-DD09E1DDF10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573" t="16001" r="10562" b="15228"/>
        <a:stretch/>
      </xdr:blipFill>
      <xdr:spPr>
        <a:xfrm>
          <a:off x="247650" y="523875"/>
          <a:ext cx="857250" cy="972162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200025</xdr:colOff>
      <xdr:row>2</xdr:row>
      <xdr:rowOff>66675</xdr:rowOff>
    </xdr:from>
    <xdr:to>
      <xdr:col>1</xdr:col>
      <xdr:colOff>800100</xdr:colOff>
      <xdr:row>5</xdr:row>
      <xdr:rowOff>179206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A607F83-D086-314E-BC2B-9F0C840774D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573" t="16001" r="10562" b="15228"/>
        <a:stretch/>
      </xdr:blipFill>
      <xdr:spPr>
        <a:xfrm>
          <a:off x="200025" y="549275"/>
          <a:ext cx="879475" cy="988831"/>
        </a:xfrm>
        <a:prstGeom prst="rect">
          <a:avLst/>
        </a:prstGeom>
      </xdr:spPr>
    </xdr:pic>
    <xdr:clientData/>
  </xdr:twoCellAnchor>
  <xdr:oneCellAnchor>
    <xdr:from>
      <xdr:col>1</xdr:col>
      <xdr:colOff>0</xdr:colOff>
      <xdr:row>27</xdr:row>
      <xdr:rowOff>47625</xdr:rowOff>
    </xdr:from>
    <xdr:ext cx="857250" cy="967400"/>
    <xdr:pic>
      <xdr:nvPicPr>
        <xdr:cNvPr id="3" name="Imagen 2">
          <a:extLst>
            <a:ext uri="{FF2B5EF4-FFF2-40B4-BE49-F238E27FC236}">
              <a16:creationId xmlns:a16="http://schemas.microsoft.com/office/drawing/2014/main" id="{F64CBE96-1EDF-C14C-BFFF-54180FF4157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573" t="16001" r="10562" b="15228"/>
        <a:stretch/>
      </xdr:blipFill>
      <xdr:spPr>
        <a:xfrm>
          <a:off x="279400" y="5965825"/>
          <a:ext cx="857250" cy="967400"/>
        </a:xfrm>
        <a:prstGeom prst="rect">
          <a:avLst/>
        </a:prstGeom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200025</xdr:colOff>
      <xdr:row>2</xdr:row>
      <xdr:rowOff>66675</xdr:rowOff>
    </xdr:from>
    <xdr:to>
      <xdr:col>1</xdr:col>
      <xdr:colOff>800100</xdr:colOff>
      <xdr:row>5</xdr:row>
      <xdr:rowOff>179206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91C759E-D7C6-4FE9-BF33-4C276CCB361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573" t="16001" r="10562" b="15228"/>
        <a:stretch/>
      </xdr:blipFill>
      <xdr:spPr>
        <a:xfrm>
          <a:off x="200025" y="533400"/>
          <a:ext cx="857250" cy="972162"/>
        </a:xfrm>
        <a:prstGeom prst="rect">
          <a:avLst/>
        </a:prstGeom>
      </xdr:spPr>
    </xdr:pic>
    <xdr:clientData/>
  </xdr:twoCellAnchor>
  <xdr:oneCellAnchor>
    <xdr:from>
      <xdr:col>1</xdr:col>
      <xdr:colOff>0</xdr:colOff>
      <xdr:row>27</xdr:row>
      <xdr:rowOff>47625</xdr:rowOff>
    </xdr:from>
    <xdr:ext cx="857250" cy="967400"/>
    <xdr:pic>
      <xdr:nvPicPr>
        <xdr:cNvPr id="3" name="Imagen 2">
          <a:extLst>
            <a:ext uri="{FF2B5EF4-FFF2-40B4-BE49-F238E27FC236}">
              <a16:creationId xmlns:a16="http://schemas.microsoft.com/office/drawing/2014/main" id="{E7161484-AD15-49EB-9D69-2EF34300E37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573" t="16001" r="10562" b="15228"/>
        <a:stretch/>
      </xdr:blipFill>
      <xdr:spPr>
        <a:xfrm>
          <a:off x="247650" y="10858500"/>
          <a:ext cx="857250" cy="967400"/>
        </a:xfrm>
        <a:prstGeom prst="rect">
          <a:avLst/>
        </a:prstGeom>
      </xdr:spPr>
    </xdr:pic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0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.v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1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58BD8-5E58-42C8-8BF6-C35A6FD63C07}">
  <sheetPr>
    <tabColor theme="7" tint="0.59999389629810485"/>
  </sheetPr>
  <dimension ref="A2:AK48"/>
  <sheetViews>
    <sheetView showGridLines="0" zoomScale="60" zoomScaleNormal="60" workbookViewId="0">
      <selection activeCell="AA8" sqref="AA8"/>
    </sheetView>
  </sheetViews>
  <sheetFormatPr baseColWidth="10" defaultColWidth="13.83203125" defaultRowHeight="16" x14ac:dyDescent="0.2"/>
  <cols>
    <col min="1" max="1" width="3.6640625" style="21" customWidth="1"/>
    <col min="2" max="4" width="13.83203125" style="21"/>
    <col min="5" max="5" width="33.83203125" style="21" customWidth="1"/>
    <col min="6" max="6" width="13.83203125" style="21"/>
    <col min="7" max="7" width="17.6640625" style="7" bestFit="1" customWidth="1"/>
    <col min="8" max="8" width="14" style="7" customWidth="1"/>
    <col min="9" max="9" width="16.33203125" style="7" customWidth="1"/>
    <col min="10" max="11" width="14.33203125" style="7" customWidth="1"/>
    <col min="12" max="12" width="16" style="7" customWidth="1"/>
    <col min="13" max="13" width="12.6640625" style="7" hidden="1" customWidth="1"/>
    <col min="14" max="18" width="14.33203125" style="7" hidden="1" customWidth="1"/>
    <col min="19" max="19" width="15.6640625" style="7" hidden="1" customWidth="1"/>
    <col min="20" max="20" width="14.33203125" style="7" customWidth="1"/>
    <col min="21" max="23" width="11.5" style="7" customWidth="1"/>
    <col min="24" max="24" width="13.83203125" style="7" customWidth="1"/>
    <col min="25" max="25" width="17.1640625" style="7" customWidth="1"/>
    <col min="26" max="26" width="12.33203125" style="7" customWidth="1"/>
    <col min="27" max="27" width="14.5" style="7" bestFit="1" customWidth="1"/>
    <col min="28" max="36" width="14.5" style="7" customWidth="1"/>
    <col min="37" max="37" width="13.83203125" style="21"/>
    <col min="38" max="38" width="10.1640625" style="21" customWidth="1"/>
    <col min="39" max="16384" width="13.83203125" style="21"/>
  </cols>
  <sheetData>
    <row r="2" spans="2:37" ht="24" x14ac:dyDescent="0.3">
      <c r="C2" s="11"/>
      <c r="D2" s="11"/>
      <c r="E2" s="7"/>
      <c r="F2" s="7"/>
      <c r="H2" s="129" t="s">
        <v>50</v>
      </c>
      <c r="I2" s="129"/>
      <c r="J2" s="129"/>
      <c r="K2" s="129"/>
      <c r="L2" s="129"/>
      <c r="M2" s="129"/>
      <c r="N2" s="129"/>
      <c r="O2" s="129"/>
      <c r="P2" s="129"/>
      <c r="Q2" s="129"/>
      <c r="R2" s="129"/>
      <c r="S2" s="129"/>
      <c r="T2" s="129"/>
      <c r="U2" s="129"/>
      <c r="V2" s="129"/>
      <c r="W2" s="129"/>
      <c r="X2" s="129"/>
      <c r="Y2" s="130"/>
      <c r="Z2" s="130"/>
      <c r="AA2" s="130"/>
      <c r="AB2" s="130"/>
      <c r="AC2" s="130"/>
      <c r="AD2" s="130"/>
      <c r="AE2" s="130"/>
      <c r="AF2" s="130"/>
      <c r="AG2" s="130"/>
      <c r="AH2" s="130"/>
      <c r="AI2" s="130"/>
      <c r="AJ2" s="130"/>
    </row>
    <row r="3" spans="2:37" ht="21" x14ac:dyDescent="0.25">
      <c r="C3" s="131" t="s">
        <v>53</v>
      </c>
      <c r="D3" s="133" t="s">
        <v>48</v>
      </c>
      <c r="E3" s="135" t="s">
        <v>2</v>
      </c>
      <c r="F3" s="135" t="s">
        <v>3</v>
      </c>
      <c r="G3" s="137" t="s">
        <v>4</v>
      </c>
      <c r="H3" s="139" t="s">
        <v>60</v>
      </c>
      <c r="I3" s="140"/>
      <c r="J3" s="140"/>
      <c r="K3" s="140"/>
      <c r="L3" s="141"/>
      <c r="M3" s="139" t="s">
        <v>1</v>
      </c>
      <c r="N3" s="140"/>
      <c r="O3" s="140"/>
      <c r="P3" s="140"/>
      <c r="Q3" s="140"/>
      <c r="R3" s="140"/>
      <c r="S3" s="140"/>
      <c r="T3" s="141"/>
      <c r="U3" s="139" t="s">
        <v>85</v>
      </c>
      <c r="V3" s="140"/>
      <c r="W3" s="140"/>
      <c r="X3" s="141"/>
      <c r="Y3" s="44" t="s">
        <v>0</v>
      </c>
      <c r="Z3" s="44" t="s">
        <v>83</v>
      </c>
      <c r="AA3" s="44" t="s">
        <v>86</v>
      </c>
      <c r="AB3" s="127"/>
      <c r="AC3" s="127"/>
      <c r="AD3" s="127"/>
      <c r="AE3" s="127"/>
      <c r="AF3" s="127"/>
      <c r="AG3" s="127"/>
      <c r="AH3" s="127"/>
      <c r="AI3" s="127"/>
      <c r="AJ3" s="127"/>
    </row>
    <row r="4" spans="2:37" ht="64" x14ac:dyDescent="0.2">
      <c r="C4" s="132"/>
      <c r="D4" s="134"/>
      <c r="E4" s="136"/>
      <c r="F4" s="136"/>
      <c r="G4" s="138"/>
      <c r="H4" s="67" t="s">
        <v>99</v>
      </c>
      <c r="I4" s="43" t="s">
        <v>52</v>
      </c>
      <c r="J4" s="43" t="s">
        <v>61</v>
      </c>
      <c r="K4" s="43" t="s">
        <v>62</v>
      </c>
      <c r="L4" s="43" t="s">
        <v>63</v>
      </c>
      <c r="M4" s="67" t="s">
        <v>11</v>
      </c>
      <c r="N4" s="67" t="s">
        <v>12</v>
      </c>
      <c r="O4" s="67" t="s">
        <v>13</v>
      </c>
      <c r="P4" s="67" t="s">
        <v>14</v>
      </c>
      <c r="Q4" s="67" t="s">
        <v>15</v>
      </c>
      <c r="R4" s="67" t="s">
        <v>16</v>
      </c>
      <c r="S4" s="43" t="s">
        <v>17</v>
      </c>
      <c r="T4" s="43" t="s">
        <v>18</v>
      </c>
      <c r="U4" s="43" t="s">
        <v>19</v>
      </c>
      <c r="V4" s="43" t="s">
        <v>100</v>
      </c>
      <c r="W4" s="43" t="s">
        <v>20</v>
      </c>
      <c r="X4" s="43" t="s">
        <v>21</v>
      </c>
      <c r="Y4" s="43" t="s">
        <v>10</v>
      </c>
      <c r="Z4" s="43" t="s">
        <v>27</v>
      </c>
      <c r="AA4" s="43" t="s">
        <v>5</v>
      </c>
      <c r="AB4" s="43" t="s">
        <v>6</v>
      </c>
      <c r="AC4" s="43" t="s">
        <v>7</v>
      </c>
      <c r="AD4" s="43" t="s">
        <v>8</v>
      </c>
      <c r="AE4" s="43" t="s">
        <v>25</v>
      </c>
      <c r="AF4" s="43" t="s">
        <v>9</v>
      </c>
      <c r="AG4" s="43" t="s">
        <v>22</v>
      </c>
      <c r="AH4" s="43" t="s">
        <v>23</v>
      </c>
      <c r="AI4" s="43" t="s">
        <v>24</v>
      </c>
      <c r="AJ4" s="43" t="s">
        <v>26</v>
      </c>
      <c r="AK4" s="101" t="s">
        <v>96</v>
      </c>
    </row>
    <row r="5" spans="2:37" x14ac:dyDescent="0.2">
      <c r="B5" s="128" t="s">
        <v>64</v>
      </c>
      <c r="C5" s="51" t="s">
        <v>82</v>
      </c>
      <c r="D5" s="77">
        <v>1</v>
      </c>
      <c r="E5" s="78" t="s">
        <v>102</v>
      </c>
      <c r="F5" s="70" t="s">
        <v>30</v>
      </c>
      <c r="G5" s="55"/>
      <c r="H5" s="55"/>
      <c r="I5" s="55"/>
      <c r="J5" s="55"/>
      <c r="K5" s="86"/>
      <c r="L5" s="55"/>
      <c r="M5" s="55"/>
      <c r="N5" s="55"/>
      <c r="O5" s="55"/>
      <c r="P5" s="55"/>
      <c r="Q5" s="55"/>
      <c r="R5" s="55"/>
      <c r="S5" s="89"/>
      <c r="T5" s="55"/>
      <c r="U5" s="55"/>
      <c r="V5" s="55"/>
      <c r="W5" s="55"/>
      <c r="X5" s="55"/>
      <c r="Y5" s="86">
        <v>0</v>
      </c>
      <c r="Z5" s="55"/>
      <c r="AA5" s="86">
        <v>0</v>
      </c>
      <c r="AB5" s="55"/>
      <c r="AC5" s="55"/>
      <c r="AD5" s="55"/>
      <c r="AE5" s="86">
        <v>0</v>
      </c>
      <c r="AF5" s="55"/>
      <c r="AG5" s="55"/>
      <c r="AH5" s="55"/>
      <c r="AI5" s="86">
        <v>0</v>
      </c>
      <c r="AJ5" s="41">
        <v>0</v>
      </c>
      <c r="AK5" s="100">
        <f t="shared" ref="AK5:AK22" si="0">SUM(S5:AJ5)+SUM(I5:L5)</f>
        <v>0</v>
      </c>
    </row>
    <row r="6" spans="2:37" x14ac:dyDescent="0.2">
      <c r="B6" s="128"/>
      <c r="C6" s="34" t="s">
        <v>68</v>
      </c>
      <c r="D6" s="72">
        <v>2</v>
      </c>
      <c r="E6" s="73" t="s">
        <v>103</v>
      </c>
      <c r="F6" s="74" t="s">
        <v>29</v>
      </c>
      <c r="G6" s="33"/>
      <c r="H6" s="17"/>
      <c r="I6" s="17">
        <f>I5*G6</f>
        <v>0</v>
      </c>
      <c r="J6" s="17"/>
      <c r="K6" s="90">
        <v>0</v>
      </c>
      <c r="L6" s="17"/>
      <c r="M6" s="33"/>
      <c r="N6" s="33"/>
      <c r="O6" s="24"/>
      <c r="P6" s="24"/>
      <c r="Q6" s="24"/>
      <c r="R6" s="17">
        <f>O6*0.045</f>
        <v>0</v>
      </c>
      <c r="S6" s="20"/>
      <c r="T6" s="90">
        <f t="shared" ref="T6:T22" si="1">SUM(O6:R6)*M6*N6</f>
        <v>0</v>
      </c>
      <c r="U6" s="17"/>
      <c r="V6" s="24">
        <v>0</v>
      </c>
      <c r="W6" s="17"/>
      <c r="X6" s="17"/>
      <c r="Y6" s="90"/>
      <c r="Z6" s="17"/>
      <c r="AA6" s="90">
        <v>0</v>
      </c>
      <c r="AB6" s="10"/>
      <c r="AC6" s="10"/>
      <c r="AD6" s="10"/>
      <c r="AE6" s="10"/>
      <c r="AF6" s="10"/>
      <c r="AG6" s="17"/>
      <c r="AH6" s="17"/>
      <c r="AI6" s="17"/>
      <c r="AJ6" s="17"/>
      <c r="AK6" s="100">
        <f t="shared" si="0"/>
        <v>0</v>
      </c>
    </row>
    <row r="7" spans="2:37" x14ac:dyDescent="0.2">
      <c r="B7" s="128"/>
      <c r="C7" s="15" t="s">
        <v>69</v>
      </c>
      <c r="D7" s="75">
        <v>3</v>
      </c>
      <c r="E7" s="73" t="s">
        <v>104</v>
      </c>
      <c r="F7" s="74" t="s">
        <v>29</v>
      </c>
      <c r="G7" s="33"/>
      <c r="H7" s="17"/>
      <c r="I7" s="17">
        <f>I6*G7</f>
        <v>0</v>
      </c>
      <c r="J7" s="17"/>
      <c r="K7" s="90">
        <v>0</v>
      </c>
      <c r="L7" s="17"/>
      <c r="M7" s="33"/>
      <c r="N7" s="33"/>
      <c r="O7" s="24"/>
      <c r="P7" s="24"/>
      <c r="Q7" s="24"/>
      <c r="R7" s="17">
        <f>O7*0.045</f>
        <v>0</v>
      </c>
      <c r="S7" s="20"/>
      <c r="T7" s="90">
        <f t="shared" si="1"/>
        <v>0</v>
      </c>
      <c r="U7" s="17"/>
      <c r="V7" s="24">
        <v>0</v>
      </c>
      <c r="W7" s="17"/>
      <c r="X7" s="17"/>
      <c r="Y7" s="90"/>
      <c r="Z7" s="17"/>
      <c r="AA7" s="90">
        <v>0</v>
      </c>
      <c r="AB7" s="10"/>
      <c r="AC7" s="10"/>
      <c r="AD7" s="10"/>
      <c r="AE7" s="10"/>
      <c r="AF7" s="10"/>
      <c r="AG7" s="17"/>
      <c r="AH7" s="17"/>
      <c r="AI7" s="17"/>
      <c r="AJ7" s="17"/>
      <c r="AK7" s="100">
        <f t="shared" si="0"/>
        <v>0</v>
      </c>
    </row>
    <row r="8" spans="2:37" x14ac:dyDescent="0.2">
      <c r="B8" s="128"/>
      <c r="C8" s="55" t="s">
        <v>94</v>
      </c>
      <c r="D8" s="77">
        <v>4</v>
      </c>
      <c r="E8" s="79" t="s">
        <v>105</v>
      </c>
      <c r="F8" s="80" t="s">
        <v>30</v>
      </c>
      <c r="G8" s="55"/>
      <c r="H8" s="57"/>
      <c r="I8" s="57"/>
      <c r="J8" s="57"/>
      <c r="K8" s="86"/>
      <c r="L8" s="57"/>
      <c r="M8" s="55"/>
      <c r="N8" s="55"/>
      <c r="O8" s="57"/>
      <c r="P8" s="57"/>
      <c r="Q8" s="57"/>
      <c r="R8" s="57"/>
      <c r="S8" s="82"/>
      <c r="T8" s="57">
        <f t="shared" si="1"/>
        <v>0</v>
      </c>
      <c r="U8" s="57"/>
      <c r="V8" s="57"/>
      <c r="W8" s="57"/>
      <c r="X8" s="57"/>
      <c r="Y8" s="86"/>
      <c r="Z8" s="57"/>
      <c r="AA8" s="86">
        <v>5400</v>
      </c>
      <c r="AB8" s="58"/>
      <c r="AC8" s="58"/>
      <c r="AD8" s="58"/>
      <c r="AE8" s="86">
        <v>0</v>
      </c>
      <c r="AF8" s="58"/>
      <c r="AG8" s="57"/>
      <c r="AH8" s="57"/>
      <c r="AI8" s="86">
        <v>0</v>
      </c>
      <c r="AJ8" s="41">
        <v>0</v>
      </c>
      <c r="AK8" s="100">
        <f t="shared" si="0"/>
        <v>5400</v>
      </c>
    </row>
    <row r="9" spans="2:37" x14ac:dyDescent="0.2">
      <c r="B9" s="128" t="s">
        <v>65</v>
      </c>
      <c r="C9" s="51" t="s">
        <v>81</v>
      </c>
      <c r="D9" s="77">
        <v>5</v>
      </c>
      <c r="E9" s="79" t="s">
        <v>106</v>
      </c>
      <c r="F9" s="80" t="s">
        <v>30</v>
      </c>
      <c r="G9" s="55"/>
      <c r="H9" s="57"/>
      <c r="I9" s="57"/>
      <c r="J9" s="57"/>
      <c r="K9" s="86"/>
      <c r="L9" s="57"/>
      <c r="M9" s="55"/>
      <c r="N9" s="55"/>
      <c r="O9" s="57"/>
      <c r="P9" s="57"/>
      <c r="Q9" s="57"/>
      <c r="R9" s="57"/>
      <c r="S9" s="82"/>
      <c r="T9" s="57">
        <f t="shared" si="1"/>
        <v>0</v>
      </c>
      <c r="U9" s="57"/>
      <c r="V9" s="57"/>
      <c r="W9" s="57"/>
      <c r="X9" s="57"/>
      <c r="Y9" s="86"/>
      <c r="Z9" s="57"/>
      <c r="AA9" s="86">
        <v>0</v>
      </c>
      <c r="AB9" s="58"/>
      <c r="AC9" s="58"/>
      <c r="AD9" s="58"/>
      <c r="AE9" s="86">
        <v>0</v>
      </c>
      <c r="AF9" s="58"/>
      <c r="AG9" s="57"/>
      <c r="AH9" s="57"/>
      <c r="AI9" s="86">
        <v>0</v>
      </c>
      <c r="AJ9" s="41">
        <v>0</v>
      </c>
      <c r="AK9" s="100">
        <f t="shared" si="0"/>
        <v>0</v>
      </c>
    </row>
    <row r="10" spans="2:37" x14ac:dyDescent="0.2">
      <c r="B10" s="128"/>
      <c r="C10" s="15" t="s">
        <v>70</v>
      </c>
      <c r="D10" s="75">
        <v>6</v>
      </c>
      <c r="E10" s="73" t="s">
        <v>37</v>
      </c>
      <c r="F10" s="74" t="s">
        <v>29</v>
      </c>
      <c r="G10" s="8">
        <v>23</v>
      </c>
      <c r="H10" s="5">
        <v>245</v>
      </c>
      <c r="I10" s="17">
        <f>H10*G10</f>
        <v>5635</v>
      </c>
      <c r="J10" s="17"/>
      <c r="K10" s="91">
        <v>0</v>
      </c>
      <c r="L10" s="17"/>
      <c r="M10" s="8"/>
      <c r="N10" s="8"/>
      <c r="O10" s="17"/>
      <c r="P10" s="17"/>
      <c r="Q10" s="17"/>
      <c r="R10" s="17">
        <f>O10*0.03</f>
        <v>0</v>
      </c>
      <c r="S10" s="20"/>
      <c r="T10" s="91">
        <f t="shared" si="1"/>
        <v>0</v>
      </c>
      <c r="U10" s="17">
        <v>24000</v>
      </c>
      <c r="V10" s="17"/>
      <c r="W10" s="17"/>
      <c r="X10" s="17"/>
      <c r="Y10" s="91"/>
      <c r="Z10" s="17"/>
      <c r="AA10" s="90">
        <v>0</v>
      </c>
      <c r="AB10" s="10"/>
      <c r="AC10" s="10"/>
      <c r="AD10" s="10"/>
      <c r="AE10" s="10"/>
      <c r="AF10" s="10"/>
      <c r="AG10" s="17"/>
      <c r="AH10" s="17"/>
      <c r="AI10" s="17"/>
      <c r="AJ10" s="17"/>
      <c r="AK10" s="100">
        <f t="shared" si="0"/>
        <v>29635</v>
      </c>
    </row>
    <row r="11" spans="2:37" x14ac:dyDescent="0.2">
      <c r="B11" s="128"/>
      <c r="C11" s="15" t="s">
        <v>71</v>
      </c>
      <c r="D11" s="75">
        <v>7</v>
      </c>
      <c r="E11" s="73" t="s">
        <v>38</v>
      </c>
      <c r="F11" s="74" t="s">
        <v>29</v>
      </c>
      <c r="G11" s="8">
        <v>23</v>
      </c>
      <c r="H11" s="5">
        <v>245</v>
      </c>
      <c r="I11" s="17">
        <f>H11*G11</f>
        <v>5635</v>
      </c>
      <c r="J11" s="17"/>
      <c r="K11" s="91">
        <v>0</v>
      </c>
      <c r="L11" s="17"/>
      <c r="M11" s="8"/>
      <c r="N11" s="8"/>
      <c r="O11" s="17"/>
      <c r="P11" s="17"/>
      <c r="Q11" s="17"/>
      <c r="R11" s="17">
        <f>O11*0.03</f>
        <v>0</v>
      </c>
      <c r="S11" s="20"/>
      <c r="T11" s="91">
        <f t="shared" si="1"/>
        <v>0</v>
      </c>
      <c r="U11" s="17">
        <v>22000</v>
      </c>
      <c r="V11" s="5"/>
      <c r="W11" s="17"/>
      <c r="X11" s="17"/>
      <c r="Y11" s="91"/>
      <c r="Z11" s="17"/>
      <c r="AA11" s="90">
        <v>0</v>
      </c>
      <c r="AB11" s="10"/>
      <c r="AC11" s="10"/>
      <c r="AD11" s="10"/>
      <c r="AE11" s="10"/>
      <c r="AF11" s="10"/>
      <c r="AG11" s="17"/>
      <c r="AH11" s="17"/>
      <c r="AI11" s="17"/>
      <c r="AJ11" s="17"/>
      <c r="AK11" s="100">
        <f t="shared" si="0"/>
        <v>27635</v>
      </c>
    </row>
    <row r="12" spans="2:37" x14ac:dyDescent="0.2">
      <c r="B12" s="128"/>
      <c r="C12" s="51" t="s">
        <v>72</v>
      </c>
      <c r="D12" s="77">
        <v>8</v>
      </c>
      <c r="E12" s="79" t="s">
        <v>40</v>
      </c>
      <c r="F12" s="80" t="s">
        <v>30</v>
      </c>
      <c r="G12" s="55"/>
      <c r="H12" s="57"/>
      <c r="I12" s="57"/>
      <c r="J12" s="57"/>
      <c r="K12" s="86"/>
      <c r="L12" s="57"/>
      <c r="M12" s="55"/>
      <c r="N12" s="55"/>
      <c r="O12" s="57"/>
      <c r="P12" s="57"/>
      <c r="Q12" s="57"/>
      <c r="R12" s="57"/>
      <c r="S12" s="82"/>
      <c r="T12" s="57">
        <f t="shared" si="1"/>
        <v>0</v>
      </c>
      <c r="U12" s="57"/>
      <c r="V12" s="57"/>
      <c r="W12" s="57"/>
      <c r="X12" s="57"/>
      <c r="Y12" s="86"/>
      <c r="Z12" s="57"/>
      <c r="AA12" s="86">
        <v>0</v>
      </c>
      <c r="AB12" s="58"/>
      <c r="AC12" s="58"/>
      <c r="AD12" s="58"/>
      <c r="AE12" s="86">
        <v>0</v>
      </c>
      <c r="AF12" s="58"/>
      <c r="AG12" s="57"/>
      <c r="AH12" s="57"/>
      <c r="AI12" s="86">
        <v>0</v>
      </c>
      <c r="AJ12" s="41">
        <v>0</v>
      </c>
      <c r="AK12" s="100">
        <f t="shared" si="0"/>
        <v>0</v>
      </c>
    </row>
    <row r="13" spans="2:37" x14ac:dyDescent="0.2">
      <c r="B13" s="128"/>
      <c r="C13" s="15" t="s">
        <v>72</v>
      </c>
      <c r="D13" s="75">
        <v>9</v>
      </c>
      <c r="E13" s="73" t="s">
        <v>41</v>
      </c>
      <c r="F13" s="76" t="s">
        <v>29</v>
      </c>
      <c r="G13" s="8">
        <v>23</v>
      </c>
      <c r="H13" s="5">
        <v>771</v>
      </c>
      <c r="I13" s="17">
        <f>H13*G13</f>
        <v>17733</v>
      </c>
      <c r="J13" s="8"/>
      <c r="K13" s="91">
        <v>0</v>
      </c>
      <c r="L13" s="8"/>
      <c r="M13" s="8">
        <v>13</v>
      </c>
      <c r="N13" s="8">
        <v>1</v>
      </c>
      <c r="O13" s="8">
        <v>934</v>
      </c>
      <c r="P13" s="8">
        <v>35</v>
      </c>
      <c r="Q13" s="8">
        <v>30</v>
      </c>
      <c r="R13" s="17">
        <f>O13*0.03</f>
        <v>28.02</v>
      </c>
      <c r="S13" s="20"/>
      <c r="T13" s="91">
        <f t="shared" si="1"/>
        <v>13351.26</v>
      </c>
      <c r="U13" s="17">
        <v>38000</v>
      </c>
      <c r="V13" s="91"/>
      <c r="W13" s="8"/>
      <c r="X13" s="8"/>
      <c r="Y13" s="91"/>
      <c r="Z13" s="91"/>
      <c r="AA13" s="8"/>
      <c r="AB13" s="8"/>
      <c r="AC13" s="8"/>
      <c r="AD13" s="8"/>
      <c r="AE13" s="10"/>
      <c r="AF13" s="10"/>
      <c r="AG13" s="17"/>
      <c r="AH13" s="17"/>
      <c r="AI13" s="17"/>
      <c r="AJ13" s="102"/>
      <c r="AK13" s="104">
        <f t="shared" si="0"/>
        <v>69084.260000000009</v>
      </c>
    </row>
    <row r="14" spans="2:37" x14ac:dyDescent="0.2">
      <c r="B14" s="128" t="s">
        <v>66</v>
      </c>
      <c r="C14" s="15" t="s">
        <v>73</v>
      </c>
      <c r="D14" s="75">
        <v>10</v>
      </c>
      <c r="E14" s="73" t="s">
        <v>102</v>
      </c>
      <c r="F14" s="74" t="s">
        <v>29</v>
      </c>
      <c r="G14" s="33"/>
      <c r="H14" s="21"/>
      <c r="I14" s="17">
        <f>I13*G14</f>
        <v>0</v>
      </c>
      <c r="J14" s="17"/>
      <c r="K14" s="90">
        <v>0</v>
      </c>
      <c r="L14" s="17"/>
      <c r="M14" s="33"/>
      <c r="N14" s="33"/>
      <c r="O14" s="24"/>
      <c r="P14" s="24"/>
      <c r="Q14" s="24"/>
      <c r="R14" s="17">
        <f>O14*0.045</f>
        <v>0</v>
      </c>
      <c r="S14" s="20"/>
      <c r="T14" s="90">
        <f t="shared" si="1"/>
        <v>0</v>
      </c>
      <c r="U14" s="17"/>
      <c r="V14" s="24"/>
      <c r="W14" s="17"/>
      <c r="X14" s="17"/>
      <c r="Y14" s="90"/>
      <c r="Z14" s="17"/>
      <c r="AA14" s="90">
        <v>0</v>
      </c>
      <c r="AB14" s="10"/>
      <c r="AC14" s="10"/>
      <c r="AD14" s="10"/>
      <c r="AE14" s="10"/>
      <c r="AF14" s="10"/>
      <c r="AG14" s="17"/>
      <c r="AH14" s="17"/>
      <c r="AI14" s="17"/>
      <c r="AJ14" s="17"/>
      <c r="AK14" s="100">
        <f t="shared" si="0"/>
        <v>0</v>
      </c>
    </row>
    <row r="15" spans="2:37" x14ac:dyDescent="0.2">
      <c r="B15" s="128"/>
      <c r="C15" s="51" t="s">
        <v>74</v>
      </c>
      <c r="D15" s="77">
        <v>11</v>
      </c>
      <c r="E15" s="79" t="s">
        <v>103</v>
      </c>
      <c r="F15" s="81" t="s">
        <v>30</v>
      </c>
      <c r="G15" s="55"/>
      <c r="H15" s="57"/>
      <c r="I15" s="57"/>
      <c r="J15" s="57"/>
      <c r="K15" s="86"/>
      <c r="L15" s="57"/>
      <c r="M15" s="55"/>
      <c r="N15" s="55"/>
      <c r="O15" s="57"/>
      <c r="P15" s="57"/>
      <c r="Q15" s="57"/>
      <c r="R15" s="57"/>
      <c r="S15" s="82"/>
      <c r="T15" s="57">
        <f t="shared" si="1"/>
        <v>0</v>
      </c>
      <c r="U15" s="57"/>
      <c r="V15" s="57"/>
      <c r="W15" s="57"/>
      <c r="X15" s="57"/>
      <c r="Y15" s="86"/>
      <c r="Z15" s="57"/>
      <c r="AA15" s="86">
        <v>0</v>
      </c>
      <c r="AB15" s="58"/>
      <c r="AC15" s="58"/>
      <c r="AD15" s="58"/>
      <c r="AE15" s="86">
        <v>0</v>
      </c>
      <c r="AF15" s="58"/>
      <c r="AG15" s="57"/>
      <c r="AH15" s="57"/>
      <c r="AI15" s="86">
        <v>0</v>
      </c>
      <c r="AJ15" s="41">
        <v>0</v>
      </c>
      <c r="AK15" s="100">
        <f t="shared" si="0"/>
        <v>0</v>
      </c>
    </row>
    <row r="16" spans="2:37" x14ac:dyDescent="0.2">
      <c r="B16" s="128"/>
      <c r="C16" s="51" t="s">
        <v>75</v>
      </c>
      <c r="D16" s="77">
        <v>12</v>
      </c>
      <c r="E16" s="79" t="s">
        <v>104</v>
      </c>
      <c r="F16" s="81" t="s">
        <v>30</v>
      </c>
      <c r="G16" s="55"/>
      <c r="H16" s="57"/>
      <c r="I16" s="57"/>
      <c r="J16" s="57"/>
      <c r="K16" s="86"/>
      <c r="L16" s="57"/>
      <c r="M16" s="55"/>
      <c r="N16" s="55"/>
      <c r="O16" s="57"/>
      <c r="P16" s="57"/>
      <c r="Q16" s="57"/>
      <c r="R16" s="57"/>
      <c r="S16" s="82"/>
      <c r="T16" s="57">
        <f t="shared" si="1"/>
        <v>0</v>
      </c>
      <c r="U16" s="57"/>
      <c r="V16" s="57"/>
      <c r="W16" s="57"/>
      <c r="X16" s="57"/>
      <c r="Y16" s="86"/>
      <c r="Z16" s="57"/>
      <c r="AA16" s="86">
        <v>5400</v>
      </c>
      <c r="AB16" s="58"/>
      <c r="AC16" s="58"/>
      <c r="AD16" s="58"/>
      <c r="AE16" s="86">
        <v>0</v>
      </c>
      <c r="AF16" s="58"/>
      <c r="AG16" s="57"/>
      <c r="AH16" s="57"/>
      <c r="AI16" s="86">
        <v>0</v>
      </c>
      <c r="AJ16" s="41">
        <v>0</v>
      </c>
      <c r="AK16" s="100">
        <f t="shared" si="0"/>
        <v>5400</v>
      </c>
    </row>
    <row r="17" spans="2:37" x14ac:dyDescent="0.2">
      <c r="B17" s="128"/>
      <c r="C17" s="15" t="s">
        <v>80</v>
      </c>
      <c r="D17" s="75">
        <v>13</v>
      </c>
      <c r="E17" s="73" t="s">
        <v>105</v>
      </c>
      <c r="F17" s="74" t="s">
        <v>29</v>
      </c>
      <c r="G17" s="33"/>
      <c r="H17" s="21"/>
      <c r="I17" s="17">
        <f>I16*G17</f>
        <v>0</v>
      </c>
      <c r="J17" s="17"/>
      <c r="K17" s="90">
        <v>0</v>
      </c>
      <c r="L17" s="17"/>
      <c r="M17" s="33"/>
      <c r="N17" s="33"/>
      <c r="O17" s="24"/>
      <c r="P17" s="24"/>
      <c r="Q17" s="24"/>
      <c r="R17" s="17">
        <f>O17*0.045</f>
        <v>0</v>
      </c>
      <c r="S17" s="20"/>
      <c r="T17" s="90">
        <f t="shared" si="1"/>
        <v>0</v>
      </c>
      <c r="U17" s="17"/>
      <c r="V17" s="24"/>
      <c r="W17" s="17"/>
      <c r="X17" s="17"/>
      <c r="Y17" s="90"/>
      <c r="Z17" s="17"/>
      <c r="AA17" s="90">
        <v>0</v>
      </c>
      <c r="AB17" s="10"/>
      <c r="AC17" s="10"/>
      <c r="AD17" s="10"/>
      <c r="AE17" s="10"/>
      <c r="AF17" s="10"/>
      <c r="AG17" s="17"/>
      <c r="AH17" s="17"/>
      <c r="AI17" s="17"/>
      <c r="AJ17" s="17"/>
      <c r="AK17" s="100">
        <f t="shared" si="0"/>
        <v>0</v>
      </c>
    </row>
    <row r="18" spans="2:37" x14ac:dyDescent="0.2">
      <c r="B18" s="128" t="s">
        <v>67</v>
      </c>
      <c r="C18" s="15" t="s">
        <v>76</v>
      </c>
      <c r="D18" s="75">
        <v>14</v>
      </c>
      <c r="E18" s="73" t="s">
        <v>106</v>
      </c>
      <c r="F18" s="76" t="s">
        <v>29</v>
      </c>
      <c r="G18" s="8">
        <v>23</v>
      </c>
      <c r="H18" s="5">
        <v>245</v>
      </c>
      <c r="I18" s="17">
        <f>H18*G18</f>
        <v>5635</v>
      </c>
      <c r="J18" s="17"/>
      <c r="K18" s="90">
        <v>0</v>
      </c>
      <c r="L18" s="17"/>
      <c r="M18" s="8"/>
      <c r="N18" s="8"/>
      <c r="O18" s="8"/>
      <c r="P18" s="8"/>
      <c r="Q18" s="8"/>
      <c r="R18" s="17">
        <f>O18*0.03</f>
        <v>0</v>
      </c>
      <c r="S18" s="20"/>
      <c r="T18" s="91">
        <f t="shared" si="1"/>
        <v>0</v>
      </c>
      <c r="U18" s="91">
        <v>16000</v>
      </c>
      <c r="V18" s="24"/>
      <c r="W18" s="17"/>
      <c r="X18" s="17"/>
      <c r="Y18" s="91"/>
      <c r="Z18" s="17"/>
      <c r="AA18" s="90">
        <v>0</v>
      </c>
      <c r="AB18" s="10"/>
      <c r="AC18" s="10"/>
      <c r="AD18" s="10"/>
      <c r="AE18" s="10"/>
      <c r="AF18" s="10"/>
      <c r="AG18" s="17"/>
      <c r="AH18" s="17"/>
      <c r="AI18" s="17"/>
      <c r="AJ18" s="17"/>
      <c r="AK18" s="100">
        <f t="shared" si="0"/>
        <v>21635</v>
      </c>
    </row>
    <row r="19" spans="2:37" x14ac:dyDescent="0.2">
      <c r="B19" s="128"/>
      <c r="C19" s="51" t="s">
        <v>77</v>
      </c>
      <c r="D19" s="77">
        <v>15</v>
      </c>
      <c r="E19" s="79" t="s">
        <v>37</v>
      </c>
      <c r="F19" s="81" t="s">
        <v>30</v>
      </c>
      <c r="G19" s="82"/>
      <c r="H19" s="82"/>
      <c r="I19" s="82"/>
      <c r="J19" s="57"/>
      <c r="K19" s="93"/>
      <c r="L19" s="57"/>
      <c r="M19" s="54"/>
      <c r="N19" s="54"/>
      <c r="O19" s="54"/>
      <c r="P19" s="83"/>
      <c r="Q19" s="83"/>
      <c r="R19" s="83"/>
      <c r="S19" s="82"/>
      <c r="T19" s="83">
        <f t="shared" si="1"/>
        <v>0</v>
      </c>
      <c r="U19" s="57"/>
      <c r="V19" s="54"/>
      <c r="W19" s="57"/>
      <c r="X19" s="57"/>
      <c r="Y19" s="94"/>
      <c r="Z19" s="57"/>
      <c r="AA19" s="86">
        <v>0</v>
      </c>
      <c r="AB19" s="58"/>
      <c r="AC19" s="58"/>
      <c r="AD19" s="58"/>
      <c r="AE19" s="86">
        <v>0</v>
      </c>
      <c r="AF19" s="58"/>
      <c r="AG19" s="57"/>
      <c r="AH19" s="57"/>
      <c r="AI19" s="86">
        <v>0</v>
      </c>
      <c r="AJ19" s="41">
        <v>0</v>
      </c>
      <c r="AK19" s="100">
        <f t="shared" si="0"/>
        <v>0</v>
      </c>
    </row>
    <row r="20" spans="2:37" x14ac:dyDescent="0.2">
      <c r="B20" s="128"/>
      <c r="C20" s="51" t="s">
        <v>78</v>
      </c>
      <c r="D20" s="77">
        <v>16</v>
      </c>
      <c r="E20" s="79" t="s">
        <v>38</v>
      </c>
      <c r="F20" s="81" t="s">
        <v>30</v>
      </c>
      <c r="G20" s="82"/>
      <c r="H20" s="82"/>
      <c r="I20" s="82"/>
      <c r="J20" s="57"/>
      <c r="K20" s="93"/>
      <c r="L20" s="57"/>
      <c r="M20" s="54"/>
      <c r="N20" s="54"/>
      <c r="O20" s="54"/>
      <c r="P20" s="83"/>
      <c r="Q20" s="83"/>
      <c r="R20" s="83"/>
      <c r="S20" s="82"/>
      <c r="T20" s="83">
        <f t="shared" si="1"/>
        <v>0</v>
      </c>
      <c r="U20" s="57"/>
      <c r="V20" s="54"/>
      <c r="W20" s="57"/>
      <c r="X20" s="57"/>
      <c r="Y20" s="94"/>
      <c r="Z20" s="57"/>
      <c r="AA20" s="86">
        <v>0</v>
      </c>
      <c r="AB20" s="58"/>
      <c r="AC20" s="58"/>
      <c r="AD20" s="58"/>
      <c r="AE20" s="86">
        <v>0</v>
      </c>
      <c r="AF20" s="58"/>
      <c r="AG20" s="57"/>
      <c r="AH20" s="57"/>
      <c r="AI20" s="86">
        <v>0</v>
      </c>
      <c r="AJ20" s="41">
        <v>0</v>
      </c>
      <c r="AK20" s="100">
        <f t="shared" si="0"/>
        <v>0</v>
      </c>
    </row>
    <row r="21" spans="2:37" x14ac:dyDescent="0.2">
      <c r="B21" s="128"/>
      <c r="C21" s="15" t="s">
        <v>79</v>
      </c>
      <c r="D21" s="75">
        <v>17</v>
      </c>
      <c r="E21" s="73" t="s">
        <v>40</v>
      </c>
      <c r="F21" s="76" t="s">
        <v>29</v>
      </c>
      <c r="G21" s="33"/>
      <c r="H21" s="21"/>
      <c r="I21" s="17">
        <f>I20*G21</f>
        <v>0</v>
      </c>
      <c r="J21" s="17"/>
      <c r="K21" s="90">
        <v>0</v>
      </c>
      <c r="L21" s="17"/>
      <c r="M21" s="33"/>
      <c r="N21" s="33"/>
      <c r="O21" s="24"/>
      <c r="P21" s="24"/>
      <c r="Q21" s="24"/>
      <c r="R21" s="17">
        <f>O21*0.045</f>
        <v>0</v>
      </c>
      <c r="S21" s="20"/>
      <c r="T21" s="90">
        <f t="shared" si="1"/>
        <v>0</v>
      </c>
      <c r="U21" s="17"/>
      <c r="V21" s="24">
        <v>0</v>
      </c>
      <c r="W21" s="17"/>
      <c r="X21" s="17"/>
      <c r="Y21" s="90"/>
      <c r="Z21" s="17"/>
      <c r="AA21" s="90">
        <v>0</v>
      </c>
      <c r="AB21" s="10"/>
      <c r="AC21" s="10"/>
      <c r="AD21" s="10"/>
      <c r="AE21" s="10"/>
      <c r="AF21" s="10"/>
      <c r="AG21" s="17"/>
      <c r="AH21" s="17"/>
      <c r="AI21" s="17"/>
      <c r="AJ21" s="17"/>
      <c r="AK21" s="100">
        <f t="shared" si="0"/>
        <v>0</v>
      </c>
    </row>
    <row r="22" spans="2:37" x14ac:dyDescent="0.2">
      <c r="B22" s="128"/>
      <c r="C22" s="51" t="s">
        <v>79</v>
      </c>
      <c r="D22" s="77">
        <v>18</v>
      </c>
      <c r="E22" s="79" t="s">
        <v>41</v>
      </c>
      <c r="F22" s="81" t="s">
        <v>30</v>
      </c>
      <c r="G22" s="82"/>
      <c r="H22" s="82"/>
      <c r="I22" s="82"/>
      <c r="J22" s="57"/>
      <c r="K22" s="93"/>
      <c r="L22" s="57"/>
      <c r="M22" s="54"/>
      <c r="N22" s="54"/>
      <c r="O22" s="54"/>
      <c r="P22" s="83"/>
      <c r="Q22" s="83"/>
      <c r="R22" s="83"/>
      <c r="S22" s="82"/>
      <c r="T22" s="83">
        <f t="shared" si="1"/>
        <v>0</v>
      </c>
      <c r="U22" s="57"/>
      <c r="V22" s="54"/>
      <c r="W22" s="57"/>
      <c r="X22" s="57"/>
      <c r="Y22" s="94"/>
      <c r="Z22" s="57"/>
      <c r="AA22" s="86">
        <v>0</v>
      </c>
      <c r="AB22" s="58"/>
      <c r="AC22" s="58"/>
      <c r="AD22" s="58"/>
      <c r="AE22" s="86">
        <v>0</v>
      </c>
      <c r="AF22" s="58"/>
      <c r="AG22" s="57"/>
      <c r="AH22" s="57"/>
      <c r="AI22" s="86">
        <v>0</v>
      </c>
      <c r="AJ22" s="41">
        <v>0</v>
      </c>
      <c r="AK22" s="100">
        <f t="shared" si="0"/>
        <v>0</v>
      </c>
    </row>
    <row r="23" spans="2:37" x14ac:dyDescent="0.2">
      <c r="B23" s="35"/>
      <c r="C23" s="12"/>
      <c r="D23" s="37"/>
      <c r="E23" s="38"/>
      <c r="F23" s="39"/>
      <c r="G23" s="59" t="s">
        <v>95</v>
      </c>
      <c r="H23" s="60"/>
      <c r="I23" s="60">
        <f>SUM(I4:I22)</f>
        <v>34638</v>
      </c>
      <c r="J23" s="60">
        <f>SUM(J4:J22)</f>
        <v>0</v>
      </c>
      <c r="K23" s="60">
        <f>SUM(K4:K22)</f>
        <v>0</v>
      </c>
      <c r="L23" s="60">
        <f>SUM(L4:L22)</f>
        <v>0</v>
      </c>
      <c r="M23" s="60"/>
      <c r="N23" s="60"/>
      <c r="O23" s="60"/>
      <c r="P23" s="60"/>
      <c r="Q23" s="60"/>
      <c r="R23" s="60"/>
      <c r="S23" s="60">
        <f t="shared" ref="S23:AJ23" si="2">SUM(S4:S22)</f>
        <v>0</v>
      </c>
      <c r="T23" s="60">
        <f t="shared" si="2"/>
        <v>13351.26</v>
      </c>
      <c r="U23" s="60">
        <f t="shared" si="2"/>
        <v>100000</v>
      </c>
      <c r="V23" s="60">
        <f t="shared" si="2"/>
        <v>0</v>
      </c>
      <c r="W23" s="60">
        <f t="shared" si="2"/>
        <v>0</v>
      </c>
      <c r="X23" s="60">
        <f t="shared" si="2"/>
        <v>0</v>
      </c>
      <c r="Y23" s="60">
        <f t="shared" si="2"/>
        <v>0</v>
      </c>
      <c r="Z23" s="60">
        <f t="shared" si="2"/>
        <v>0</v>
      </c>
      <c r="AA23" s="60">
        <f t="shared" si="2"/>
        <v>10800</v>
      </c>
      <c r="AB23" s="60">
        <f t="shared" si="2"/>
        <v>0</v>
      </c>
      <c r="AC23" s="60">
        <f t="shared" si="2"/>
        <v>0</v>
      </c>
      <c r="AD23" s="60">
        <f t="shared" si="2"/>
        <v>0</v>
      </c>
      <c r="AE23" s="60">
        <f t="shared" si="2"/>
        <v>0</v>
      </c>
      <c r="AF23" s="60">
        <f t="shared" si="2"/>
        <v>0</v>
      </c>
      <c r="AG23" s="60">
        <f t="shared" si="2"/>
        <v>0</v>
      </c>
      <c r="AH23" s="60">
        <f t="shared" si="2"/>
        <v>0</v>
      </c>
      <c r="AI23" s="60">
        <f t="shared" si="2"/>
        <v>0</v>
      </c>
      <c r="AJ23" s="60">
        <f t="shared" si="2"/>
        <v>0</v>
      </c>
      <c r="AK23" s="99">
        <f>SUM(AK5:AK22)</f>
        <v>158789.26</v>
      </c>
    </row>
    <row r="24" spans="2:37" x14ac:dyDescent="0.2">
      <c r="E24" s="22"/>
      <c r="L24" s="18"/>
      <c r="N24" s="19"/>
      <c r="P24" s="19"/>
      <c r="Q24" s="19"/>
      <c r="R24" s="19"/>
      <c r="S24" s="19"/>
      <c r="T24" s="19"/>
      <c r="Y24" s="18"/>
    </row>
    <row r="25" spans="2:37" ht="17" thickBot="1" x14ac:dyDescent="0.25">
      <c r="E25" s="13"/>
      <c r="F25" s="45" t="s">
        <v>54</v>
      </c>
      <c r="G25" s="45" t="s">
        <v>55</v>
      </c>
      <c r="H25" s="45" t="s">
        <v>56</v>
      </c>
      <c r="I25" s="45" t="s">
        <v>57</v>
      </c>
      <c r="J25" s="45" t="s">
        <v>58</v>
      </c>
      <c r="K25" s="45" t="s">
        <v>59</v>
      </c>
      <c r="L25" s="18"/>
      <c r="N25" s="19"/>
      <c r="P25" s="19"/>
      <c r="Q25" s="19"/>
      <c r="R25" s="19"/>
      <c r="S25" s="19"/>
      <c r="T25" s="19"/>
      <c r="Y25" s="18"/>
    </row>
    <row r="26" spans="2:37" ht="15.5" customHeight="1" x14ac:dyDescent="0.2">
      <c r="D26" s="124" t="s">
        <v>44</v>
      </c>
      <c r="E26" s="25" t="s">
        <v>45</v>
      </c>
      <c r="F26" s="26"/>
      <c r="G26" s="26"/>
      <c r="H26" s="26"/>
      <c r="I26" s="26"/>
      <c r="J26" s="26"/>
      <c r="K26" s="27"/>
      <c r="L26" s="18"/>
      <c r="N26" s="19"/>
      <c r="P26" s="19"/>
      <c r="Q26" s="19"/>
      <c r="R26" s="19"/>
      <c r="S26" s="19"/>
      <c r="T26" s="19"/>
      <c r="Y26" s="18"/>
    </row>
    <row r="27" spans="2:37" x14ac:dyDescent="0.2">
      <c r="D27" s="124"/>
      <c r="E27" s="6" t="s">
        <v>46</v>
      </c>
      <c r="F27" s="17">
        <f>SUM(I5:I8)</f>
        <v>0</v>
      </c>
      <c r="G27" s="17">
        <f>SUM(I9:I13)</f>
        <v>29003</v>
      </c>
      <c r="H27" s="17">
        <f>SUM(I14:I17)</f>
        <v>0</v>
      </c>
      <c r="I27" s="17">
        <f>SUM(I18:I22)</f>
        <v>5635</v>
      </c>
      <c r="J27" s="17"/>
      <c r="K27" s="28"/>
      <c r="L27" s="18">
        <f>SUM(F27:K27)</f>
        <v>34638</v>
      </c>
      <c r="N27" s="19"/>
      <c r="P27" s="19"/>
      <c r="Q27" s="19"/>
      <c r="R27" s="19"/>
      <c r="S27" s="19"/>
      <c r="T27" s="19"/>
      <c r="Y27" s="18"/>
    </row>
    <row r="28" spans="2:37" x14ac:dyDescent="0.2">
      <c r="D28" s="124"/>
      <c r="E28" s="6" t="s">
        <v>47</v>
      </c>
      <c r="F28" s="17">
        <f>SUM(J5:L8)</f>
        <v>0</v>
      </c>
      <c r="G28" s="17">
        <f>SUM(J9:L13)</f>
        <v>0</v>
      </c>
      <c r="H28" s="17">
        <f>SUM(J14:L17)</f>
        <v>0</v>
      </c>
      <c r="I28" s="17">
        <f>SUM(J18:L22)</f>
        <v>0</v>
      </c>
      <c r="J28" s="17"/>
      <c r="K28" s="28"/>
      <c r="L28" s="18">
        <f>SUM(F28:K28)</f>
        <v>0</v>
      </c>
      <c r="N28" s="19"/>
      <c r="P28" s="19"/>
      <c r="Q28" s="19"/>
      <c r="R28" s="19"/>
      <c r="S28" s="19"/>
      <c r="T28" s="19"/>
      <c r="Y28" s="18"/>
    </row>
    <row r="29" spans="2:37" x14ac:dyDescent="0.2">
      <c r="D29" s="124"/>
      <c r="E29" s="4" t="s">
        <v>18</v>
      </c>
      <c r="F29" s="17"/>
      <c r="G29" s="17"/>
      <c r="H29" s="17"/>
      <c r="I29" s="17"/>
      <c r="J29" s="17"/>
      <c r="K29" s="28"/>
      <c r="L29" s="18"/>
      <c r="N29" s="19"/>
      <c r="P29" s="19"/>
      <c r="Q29" s="19"/>
      <c r="R29" s="19"/>
      <c r="S29" s="19"/>
      <c r="T29" s="19"/>
      <c r="Y29" s="18"/>
    </row>
    <row r="30" spans="2:37" x14ac:dyDescent="0.2">
      <c r="D30" s="124"/>
      <c r="E30" s="6" t="s">
        <v>52</v>
      </c>
      <c r="F30" s="17">
        <f>SUM(T5:T8)</f>
        <v>0</v>
      </c>
      <c r="G30" s="17">
        <f>SUM(T9:T13)</f>
        <v>13351.26</v>
      </c>
      <c r="H30" s="17">
        <f>SUM(T14:T17)</f>
        <v>0</v>
      </c>
      <c r="I30" s="17">
        <f>SUM(T18:T22)</f>
        <v>0</v>
      </c>
      <c r="J30" s="17"/>
      <c r="K30" s="28"/>
      <c r="L30" s="18">
        <f t="shared" ref="L30:L48" si="3">SUM(F30:K30)</f>
        <v>13351.26</v>
      </c>
      <c r="Y30" s="18"/>
      <c r="AA30" s="18"/>
      <c r="AB30" s="18"/>
      <c r="AC30" s="18"/>
      <c r="AD30" s="18"/>
      <c r="AE30" s="18"/>
      <c r="AF30" s="18"/>
    </row>
    <row r="31" spans="2:37" x14ac:dyDescent="0.2">
      <c r="D31" s="124"/>
      <c r="E31" s="6" t="s">
        <v>17</v>
      </c>
      <c r="F31" s="17"/>
      <c r="G31" s="17"/>
      <c r="H31" s="17"/>
      <c r="I31" s="17"/>
      <c r="J31" s="17"/>
      <c r="K31" s="28"/>
      <c r="L31" s="18">
        <f t="shared" si="3"/>
        <v>0</v>
      </c>
      <c r="Y31" s="18"/>
      <c r="AA31" s="18"/>
      <c r="AB31" s="18"/>
      <c r="AC31" s="18"/>
      <c r="AD31" s="18"/>
      <c r="AE31" s="18"/>
      <c r="AF31" s="18"/>
    </row>
    <row r="32" spans="2:37" x14ac:dyDescent="0.2">
      <c r="D32" s="124"/>
      <c r="E32" s="4" t="s">
        <v>97</v>
      </c>
      <c r="F32" s="17">
        <f>SUM(U5:U8)</f>
        <v>0</v>
      </c>
      <c r="G32" s="17">
        <f>SUM(U9:U13)</f>
        <v>84000</v>
      </c>
      <c r="H32" s="17">
        <f>(SUM(U14:U16))</f>
        <v>0</v>
      </c>
      <c r="I32" s="17">
        <f>SUM(U17:U20)</f>
        <v>16000</v>
      </c>
      <c r="J32" s="17"/>
      <c r="K32" s="28"/>
      <c r="L32" s="18">
        <f t="shared" si="3"/>
        <v>100000</v>
      </c>
      <c r="N32" s="19"/>
      <c r="Y32" s="18"/>
      <c r="AA32" s="18"/>
      <c r="AB32" s="18"/>
      <c r="AC32" s="18"/>
      <c r="AD32" s="18"/>
      <c r="AE32" s="18"/>
      <c r="AF32" s="18"/>
    </row>
    <row r="33" spans="1:37" x14ac:dyDescent="0.2">
      <c r="D33" s="124"/>
      <c r="E33" s="47" t="s">
        <v>101</v>
      </c>
      <c r="F33" s="17">
        <f>SUM(V5:V8)</f>
        <v>0</v>
      </c>
      <c r="G33" s="17">
        <f>SUM(V9:V13)</f>
        <v>0</v>
      </c>
      <c r="H33" s="17">
        <f>SUM(V14:V17)</f>
        <v>0</v>
      </c>
      <c r="I33" s="17">
        <f>SUM(V18:V22)</f>
        <v>0</v>
      </c>
      <c r="J33" s="17"/>
      <c r="K33" s="28"/>
      <c r="L33" s="18">
        <f t="shared" si="3"/>
        <v>0</v>
      </c>
      <c r="N33" s="19"/>
      <c r="Y33" s="18"/>
      <c r="AA33" s="18"/>
      <c r="AB33" s="18"/>
      <c r="AC33" s="18"/>
      <c r="AD33" s="18"/>
      <c r="AE33" s="18"/>
      <c r="AF33" s="18"/>
    </row>
    <row r="34" spans="1:37" x14ac:dyDescent="0.2">
      <c r="D34" s="124"/>
      <c r="E34" s="4" t="s">
        <v>20</v>
      </c>
      <c r="F34" s="17"/>
      <c r="G34" s="17"/>
      <c r="H34" s="17"/>
      <c r="I34" s="17"/>
      <c r="J34" s="17"/>
      <c r="K34" s="28"/>
      <c r="L34" s="18">
        <f t="shared" si="3"/>
        <v>0</v>
      </c>
    </row>
    <row r="35" spans="1:37" s="7" customFormat="1" ht="17" thickBot="1" x14ac:dyDescent="0.25">
      <c r="A35" s="21"/>
      <c r="B35" s="21"/>
      <c r="C35" s="21"/>
      <c r="D35" s="125"/>
      <c r="E35" s="29" t="s">
        <v>21</v>
      </c>
      <c r="F35" s="30"/>
      <c r="G35" s="30"/>
      <c r="H35" s="30"/>
      <c r="I35" s="30"/>
      <c r="J35" s="30"/>
      <c r="K35" s="31"/>
      <c r="L35" s="18">
        <f t="shared" si="3"/>
        <v>0</v>
      </c>
      <c r="N35" s="19"/>
      <c r="AK35" s="21"/>
    </row>
    <row r="36" spans="1:37" s="7" customFormat="1" x14ac:dyDescent="0.2">
      <c r="A36" s="21"/>
      <c r="B36" s="21"/>
      <c r="C36" s="21"/>
      <c r="D36" s="126" t="s">
        <v>87</v>
      </c>
      <c r="E36" s="46" t="s">
        <v>45</v>
      </c>
      <c r="F36" s="61">
        <f>SUM(Y5:Y8)</f>
        <v>0</v>
      </c>
      <c r="G36" s="61">
        <f>SUM(Y9:Y13)</f>
        <v>0</v>
      </c>
      <c r="H36" s="61">
        <f>SUM(Y14:Y17)</f>
        <v>0</v>
      </c>
      <c r="I36" s="61">
        <f>SUM(Y18:Y22)</f>
        <v>0</v>
      </c>
      <c r="J36" s="61"/>
      <c r="K36" s="62"/>
      <c r="L36" s="18">
        <f t="shared" si="3"/>
        <v>0</v>
      </c>
      <c r="AK36" s="21"/>
    </row>
    <row r="37" spans="1:37" s="7" customFormat="1" x14ac:dyDescent="0.2">
      <c r="A37" s="21"/>
      <c r="B37" s="21"/>
      <c r="C37" s="21"/>
      <c r="D37" s="126"/>
      <c r="E37" s="47" t="s">
        <v>27</v>
      </c>
      <c r="F37" s="17"/>
      <c r="G37" s="17"/>
      <c r="H37" s="17"/>
      <c r="I37" s="17"/>
      <c r="J37" s="17"/>
      <c r="K37" s="28"/>
      <c r="L37" s="18">
        <f t="shared" si="3"/>
        <v>0</v>
      </c>
      <c r="AK37" s="21"/>
    </row>
    <row r="38" spans="1:37" s="7" customFormat="1" ht="17" x14ac:dyDescent="0.2">
      <c r="A38" s="21"/>
      <c r="B38" s="21"/>
      <c r="C38" s="21"/>
      <c r="D38" s="126"/>
      <c r="E38" s="48" t="s">
        <v>5</v>
      </c>
      <c r="F38" s="95">
        <f>SUM(AA5:AA8)</f>
        <v>5400</v>
      </c>
      <c r="G38" s="17">
        <f>SUM(AA9:AA12)</f>
        <v>0</v>
      </c>
      <c r="H38" s="8">
        <f>SUM(AA13:AA16)</f>
        <v>5400</v>
      </c>
      <c r="I38" s="17">
        <f>SUM(AA17:AA20)</f>
        <v>0</v>
      </c>
      <c r="J38" s="8"/>
      <c r="K38" s="63"/>
      <c r="L38" s="18">
        <f t="shared" si="3"/>
        <v>10800</v>
      </c>
      <c r="AK38" s="21"/>
    </row>
    <row r="39" spans="1:37" s="7" customFormat="1" ht="17" x14ac:dyDescent="0.2">
      <c r="A39" s="21"/>
      <c r="B39" s="21"/>
      <c r="C39" s="21"/>
      <c r="D39" s="126"/>
      <c r="E39" s="48" t="s">
        <v>93</v>
      </c>
      <c r="F39" s="23"/>
      <c r="G39" s="8"/>
      <c r="H39" s="8"/>
      <c r="I39" s="8"/>
      <c r="J39" s="8"/>
      <c r="K39" s="63"/>
      <c r="L39" s="18">
        <f t="shared" si="3"/>
        <v>0</v>
      </c>
      <c r="AK39" s="21"/>
    </row>
    <row r="40" spans="1:37" s="7" customFormat="1" ht="17" x14ac:dyDescent="0.2">
      <c r="A40" s="21"/>
      <c r="B40" s="21"/>
      <c r="C40" s="21"/>
      <c r="D40" s="126"/>
      <c r="E40" s="48" t="s">
        <v>92</v>
      </c>
      <c r="F40" s="23"/>
      <c r="G40" s="8"/>
      <c r="H40" s="8"/>
      <c r="I40" s="8"/>
      <c r="J40" s="8"/>
      <c r="K40" s="63"/>
      <c r="L40" s="18">
        <f t="shared" si="3"/>
        <v>0</v>
      </c>
      <c r="AK40" s="21"/>
    </row>
    <row r="41" spans="1:37" s="7" customFormat="1" ht="17" x14ac:dyDescent="0.2">
      <c r="A41" s="21"/>
      <c r="B41" s="21"/>
      <c r="C41" s="21"/>
      <c r="D41" s="126"/>
      <c r="E41" s="48" t="s">
        <v>91</v>
      </c>
      <c r="F41" s="23"/>
      <c r="G41" s="8"/>
      <c r="H41" s="8"/>
      <c r="I41" s="8"/>
      <c r="J41" s="8"/>
      <c r="K41" s="63"/>
      <c r="L41" s="18">
        <f t="shared" si="3"/>
        <v>0</v>
      </c>
      <c r="AK41" s="21"/>
    </row>
    <row r="42" spans="1:37" s="7" customFormat="1" ht="17" x14ac:dyDescent="0.2">
      <c r="A42" s="21"/>
      <c r="B42" s="21"/>
      <c r="C42" s="21"/>
      <c r="D42" s="126"/>
      <c r="E42" s="48" t="s">
        <v>25</v>
      </c>
      <c r="F42" s="95">
        <f>SUM(AE5:AE8)</f>
        <v>0</v>
      </c>
      <c r="G42" s="17">
        <f>SUM(AE9:AE13)</f>
        <v>0</v>
      </c>
      <c r="H42" s="96">
        <f>SUM(AE14:AE17)</f>
        <v>0</v>
      </c>
      <c r="I42" s="96">
        <f>SUM(AE18:AE22)</f>
        <v>0</v>
      </c>
      <c r="J42" s="8"/>
      <c r="K42" s="63"/>
      <c r="L42" s="18">
        <f t="shared" si="3"/>
        <v>0</v>
      </c>
      <c r="AK42" s="21"/>
    </row>
    <row r="43" spans="1:37" s="7" customFormat="1" ht="17" x14ac:dyDescent="0.2">
      <c r="A43" s="21"/>
      <c r="B43" s="21"/>
      <c r="C43" s="21"/>
      <c r="D43" s="126"/>
      <c r="E43" s="48" t="s">
        <v>90</v>
      </c>
      <c r="F43" s="23"/>
      <c r="G43" s="8"/>
      <c r="H43" s="8"/>
      <c r="I43" s="8"/>
      <c r="J43" s="8"/>
      <c r="K43" s="63"/>
      <c r="L43" s="18">
        <f t="shared" si="3"/>
        <v>0</v>
      </c>
      <c r="AK43" s="21"/>
    </row>
    <row r="44" spans="1:37" s="7" customFormat="1" ht="17" x14ac:dyDescent="0.2">
      <c r="A44" s="21"/>
      <c r="B44" s="21"/>
      <c r="C44" s="21"/>
      <c r="D44" s="126"/>
      <c r="E44" s="48" t="s">
        <v>89</v>
      </c>
      <c r="F44" s="23"/>
      <c r="G44" s="8"/>
      <c r="H44" s="8"/>
      <c r="I44" s="8"/>
      <c r="J44" s="8"/>
      <c r="K44" s="63"/>
      <c r="L44" s="18">
        <f t="shared" si="3"/>
        <v>0</v>
      </c>
      <c r="AK44" s="21"/>
    </row>
    <row r="45" spans="1:37" s="7" customFormat="1" ht="17" x14ac:dyDescent="0.2">
      <c r="A45" s="21"/>
      <c r="B45" s="21"/>
      <c r="C45" s="21"/>
      <c r="D45" s="126"/>
      <c r="E45" s="48" t="s">
        <v>23</v>
      </c>
      <c r="F45" s="23"/>
      <c r="G45" s="8"/>
      <c r="H45" s="8"/>
      <c r="I45" s="8"/>
      <c r="J45" s="8"/>
      <c r="K45" s="63"/>
      <c r="L45" s="18">
        <f t="shared" si="3"/>
        <v>0</v>
      </c>
      <c r="AK45" s="21"/>
    </row>
    <row r="46" spans="1:37" s="7" customFormat="1" ht="17" x14ac:dyDescent="0.2">
      <c r="A46" s="21"/>
      <c r="B46" s="21"/>
      <c r="C46" s="21"/>
      <c r="D46" s="126"/>
      <c r="E46" s="48" t="s">
        <v>24</v>
      </c>
      <c r="F46" s="95">
        <f>SUM(AI5:AI8)</f>
        <v>0</v>
      </c>
      <c r="G46" s="17">
        <f>SUM(AI9:AI13)</f>
        <v>0</v>
      </c>
      <c r="H46" s="17">
        <f>SUM(AI14:AI17)</f>
        <v>0</v>
      </c>
      <c r="I46" s="17">
        <f>SUM(AI18:AI22)</f>
        <v>0</v>
      </c>
      <c r="J46" s="8"/>
      <c r="K46" s="63"/>
      <c r="L46" s="18">
        <f t="shared" si="3"/>
        <v>0</v>
      </c>
      <c r="AK46" s="21"/>
    </row>
    <row r="47" spans="1:37" s="7" customFormat="1" ht="18" thickBot="1" x14ac:dyDescent="0.25">
      <c r="A47" s="21"/>
      <c r="B47" s="21"/>
      <c r="C47" s="21"/>
      <c r="D47" s="126"/>
      <c r="E47" s="49" t="s">
        <v>88</v>
      </c>
      <c r="F47" s="97">
        <f>SUM(AJ5:AJ8)</f>
        <v>0</v>
      </c>
      <c r="G47" s="30">
        <f>SUM(AJ9:AJ13)</f>
        <v>0</v>
      </c>
      <c r="H47" s="30">
        <f>SUM(AJ14:AJ17)</f>
        <v>0</v>
      </c>
      <c r="I47" s="30">
        <f>SUM(AJ18:AJ22)</f>
        <v>0</v>
      </c>
      <c r="J47" s="64"/>
      <c r="K47" s="65"/>
      <c r="L47" s="18">
        <f t="shared" si="3"/>
        <v>0</v>
      </c>
      <c r="AK47" s="21"/>
    </row>
    <row r="48" spans="1:37" s="7" customFormat="1" x14ac:dyDescent="0.2">
      <c r="A48" s="21"/>
      <c r="B48" s="21"/>
      <c r="C48" s="21"/>
      <c r="D48" s="21"/>
      <c r="E48" s="68" t="s">
        <v>98</v>
      </c>
      <c r="F48" s="69">
        <f t="shared" ref="F48:K48" si="4">SUM(F26:F47)</f>
        <v>5400</v>
      </c>
      <c r="G48" s="69">
        <f t="shared" si="4"/>
        <v>126354.26000000001</v>
      </c>
      <c r="H48" s="69">
        <f t="shared" si="4"/>
        <v>5400</v>
      </c>
      <c r="I48" s="69">
        <f t="shared" si="4"/>
        <v>21635</v>
      </c>
      <c r="J48" s="69">
        <f t="shared" si="4"/>
        <v>0</v>
      </c>
      <c r="K48" s="69">
        <f t="shared" si="4"/>
        <v>0</v>
      </c>
      <c r="L48" s="18">
        <f t="shared" si="3"/>
        <v>158789.26</v>
      </c>
      <c r="AK48" s="21"/>
    </row>
  </sheetData>
  <mergeCells count="17">
    <mergeCell ref="H2:X2"/>
    <mergeCell ref="Y2:AJ2"/>
    <mergeCell ref="C3:C4"/>
    <mergeCell ref="D3:D4"/>
    <mergeCell ref="E3:E4"/>
    <mergeCell ref="F3:F4"/>
    <mergeCell ref="G3:G4"/>
    <mergeCell ref="H3:L3"/>
    <mergeCell ref="M3:T3"/>
    <mergeCell ref="U3:X3"/>
    <mergeCell ref="D26:D35"/>
    <mergeCell ref="D36:D47"/>
    <mergeCell ref="AB3:AJ3"/>
    <mergeCell ref="B5:B8"/>
    <mergeCell ref="B9:B13"/>
    <mergeCell ref="B14:B17"/>
    <mergeCell ref="B18:B22"/>
  </mergeCells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D3624-E3D8-47E7-85EA-3B16289F0288}">
  <sheetPr>
    <tabColor theme="7" tint="0.59999389629810485"/>
  </sheetPr>
  <dimension ref="A2:AK48"/>
  <sheetViews>
    <sheetView showGridLines="0" topLeftCell="B15" zoomScale="80" zoomScaleNormal="80" workbookViewId="0">
      <selection activeCell="A9" sqref="A9:XFD13"/>
    </sheetView>
  </sheetViews>
  <sheetFormatPr baseColWidth="10" defaultColWidth="13.83203125" defaultRowHeight="16" x14ac:dyDescent="0.2"/>
  <cols>
    <col min="1" max="1" width="3.6640625" style="21" customWidth="1"/>
    <col min="2" max="4" width="13.83203125" style="21"/>
    <col min="5" max="5" width="33.83203125" style="21" customWidth="1"/>
    <col min="6" max="6" width="13.83203125" style="21"/>
    <col min="7" max="7" width="17.6640625" style="7" bestFit="1" customWidth="1"/>
    <col min="8" max="8" width="14" style="7" customWidth="1"/>
    <col min="9" max="9" width="16.33203125" style="7" customWidth="1"/>
    <col min="10" max="11" width="14.33203125" style="7" customWidth="1"/>
    <col min="12" max="12" width="16" style="7" customWidth="1"/>
    <col min="13" max="13" width="12.6640625" style="7" customWidth="1"/>
    <col min="14" max="18" width="14.33203125" style="7" customWidth="1"/>
    <col min="19" max="19" width="15.6640625" style="7" customWidth="1"/>
    <col min="20" max="20" width="14.33203125" style="7" customWidth="1"/>
    <col min="21" max="23" width="11.5" style="7" customWidth="1"/>
    <col min="24" max="24" width="13.83203125" style="7" customWidth="1"/>
    <col min="25" max="25" width="17.1640625" style="7" customWidth="1"/>
    <col min="26" max="26" width="12.33203125" style="7" customWidth="1"/>
    <col min="27" max="27" width="14.5" style="7" bestFit="1" customWidth="1"/>
    <col min="28" max="36" width="14.5" style="7" customWidth="1"/>
    <col min="37" max="37" width="13.83203125" style="21"/>
    <col min="38" max="38" width="10.1640625" style="21" customWidth="1"/>
    <col min="39" max="16384" width="13.83203125" style="21"/>
  </cols>
  <sheetData>
    <row r="2" spans="2:37" ht="24" x14ac:dyDescent="0.3">
      <c r="C2" s="11"/>
      <c r="D2" s="11"/>
      <c r="E2" s="7"/>
      <c r="F2" s="7"/>
      <c r="H2" s="129" t="s">
        <v>50</v>
      </c>
      <c r="I2" s="129"/>
      <c r="J2" s="129"/>
      <c r="K2" s="129"/>
      <c r="L2" s="129"/>
      <c r="M2" s="129"/>
      <c r="N2" s="129"/>
      <c r="O2" s="129"/>
      <c r="P2" s="129"/>
      <c r="Q2" s="129"/>
      <c r="R2" s="129"/>
      <c r="S2" s="129"/>
      <c r="T2" s="129"/>
      <c r="U2" s="129"/>
      <c r="V2" s="129"/>
      <c r="W2" s="129"/>
      <c r="X2" s="129"/>
      <c r="Y2" s="130"/>
      <c r="Z2" s="130"/>
      <c r="AA2" s="130"/>
      <c r="AB2" s="130"/>
      <c r="AC2" s="130"/>
      <c r="AD2" s="130"/>
      <c r="AE2" s="130"/>
      <c r="AF2" s="130"/>
      <c r="AG2" s="130"/>
      <c r="AH2" s="130"/>
      <c r="AI2" s="130"/>
      <c r="AJ2" s="130"/>
    </row>
    <row r="3" spans="2:37" ht="21" x14ac:dyDescent="0.25">
      <c r="C3" s="131" t="s">
        <v>53</v>
      </c>
      <c r="D3" s="133" t="s">
        <v>48</v>
      </c>
      <c r="E3" s="135" t="s">
        <v>2</v>
      </c>
      <c r="F3" s="135" t="s">
        <v>3</v>
      </c>
      <c r="G3" s="137" t="s">
        <v>4</v>
      </c>
      <c r="H3" s="139" t="s">
        <v>60</v>
      </c>
      <c r="I3" s="140"/>
      <c r="J3" s="140"/>
      <c r="K3" s="140"/>
      <c r="L3" s="141"/>
      <c r="M3" s="139" t="s">
        <v>1</v>
      </c>
      <c r="N3" s="140"/>
      <c r="O3" s="140"/>
      <c r="P3" s="140"/>
      <c r="Q3" s="140"/>
      <c r="R3" s="140"/>
      <c r="S3" s="140"/>
      <c r="T3" s="141"/>
      <c r="U3" s="139" t="s">
        <v>85</v>
      </c>
      <c r="V3" s="140"/>
      <c r="W3" s="140"/>
      <c r="X3" s="141"/>
      <c r="Y3" s="44" t="s">
        <v>0</v>
      </c>
      <c r="Z3" s="44" t="s">
        <v>83</v>
      </c>
      <c r="AA3" s="44" t="s">
        <v>86</v>
      </c>
      <c r="AB3" s="127"/>
      <c r="AC3" s="127"/>
      <c r="AD3" s="127"/>
      <c r="AE3" s="127"/>
      <c r="AF3" s="127"/>
      <c r="AG3" s="127"/>
      <c r="AH3" s="127"/>
      <c r="AI3" s="127"/>
      <c r="AJ3" s="127"/>
    </row>
    <row r="4" spans="2:37" ht="64" x14ac:dyDescent="0.2">
      <c r="C4" s="132"/>
      <c r="D4" s="134"/>
      <c r="E4" s="136"/>
      <c r="F4" s="136"/>
      <c r="G4" s="138"/>
      <c r="H4" s="67" t="s">
        <v>99</v>
      </c>
      <c r="I4" s="43" t="s">
        <v>52</v>
      </c>
      <c r="J4" s="43" t="s">
        <v>61</v>
      </c>
      <c r="K4" s="43" t="s">
        <v>62</v>
      </c>
      <c r="L4" s="43" t="s">
        <v>63</v>
      </c>
      <c r="M4" s="67" t="s">
        <v>11</v>
      </c>
      <c r="N4" s="67" t="s">
        <v>12</v>
      </c>
      <c r="O4" s="67" t="s">
        <v>13</v>
      </c>
      <c r="P4" s="67" t="s">
        <v>14</v>
      </c>
      <c r="Q4" s="67" t="s">
        <v>15</v>
      </c>
      <c r="R4" s="67" t="s">
        <v>16</v>
      </c>
      <c r="S4" s="43" t="s">
        <v>17</v>
      </c>
      <c r="T4" s="43" t="s">
        <v>18</v>
      </c>
      <c r="U4" s="43" t="s">
        <v>19</v>
      </c>
      <c r="V4" s="43" t="s">
        <v>100</v>
      </c>
      <c r="W4" s="43" t="s">
        <v>20</v>
      </c>
      <c r="X4" s="43" t="s">
        <v>21</v>
      </c>
      <c r="Y4" s="43" t="s">
        <v>10</v>
      </c>
      <c r="Z4" s="43" t="s">
        <v>27</v>
      </c>
      <c r="AA4" s="43" t="s">
        <v>5</v>
      </c>
      <c r="AB4" s="43" t="s">
        <v>6</v>
      </c>
      <c r="AC4" s="43" t="s">
        <v>7</v>
      </c>
      <c r="AD4" s="43" t="s">
        <v>8</v>
      </c>
      <c r="AE4" s="43" t="s">
        <v>25</v>
      </c>
      <c r="AF4" s="43" t="s">
        <v>9</v>
      </c>
      <c r="AG4" s="43" t="s">
        <v>22</v>
      </c>
      <c r="AH4" s="43" t="s">
        <v>23</v>
      </c>
      <c r="AI4" s="43" t="s">
        <v>24</v>
      </c>
      <c r="AJ4" s="43" t="s">
        <v>26</v>
      </c>
      <c r="AK4" s="101" t="s">
        <v>96</v>
      </c>
    </row>
    <row r="5" spans="2:37" x14ac:dyDescent="0.2">
      <c r="B5" s="128" t="s">
        <v>64</v>
      </c>
      <c r="C5" s="51" t="s">
        <v>82</v>
      </c>
      <c r="D5" s="77">
        <v>1</v>
      </c>
      <c r="E5" s="78" t="s">
        <v>102</v>
      </c>
      <c r="F5" s="70" t="s">
        <v>30</v>
      </c>
      <c r="G5" s="55"/>
      <c r="H5" s="55"/>
      <c r="I5" s="55"/>
      <c r="J5" s="55"/>
      <c r="K5" s="86"/>
      <c r="L5" s="55"/>
      <c r="M5" s="55"/>
      <c r="N5" s="55"/>
      <c r="O5" s="55"/>
      <c r="P5" s="55"/>
      <c r="Q5" s="55"/>
      <c r="R5" s="55"/>
      <c r="S5" s="89"/>
      <c r="T5" s="55"/>
      <c r="U5" s="55"/>
      <c r="V5" s="55"/>
      <c r="W5" s="55"/>
      <c r="X5" s="55"/>
      <c r="Y5" s="86">
        <v>0</v>
      </c>
      <c r="Z5" s="55"/>
      <c r="AA5" s="86">
        <v>0</v>
      </c>
      <c r="AB5" s="55"/>
      <c r="AC5" s="55"/>
      <c r="AD5" s="55"/>
      <c r="AE5" s="86">
        <v>0</v>
      </c>
      <c r="AF5" s="55"/>
      <c r="AG5" s="55"/>
      <c r="AH5" s="55"/>
      <c r="AI5" s="86">
        <v>0</v>
      </c>
      <c r="AJ5" s="41">
        <v>0</v>
      </c>
      <c r="AK5" s="100">
        <f t="shared" ref="AK5:AK22" si="0">SUM(S5:AJ5)+SUM(I5:L5)</f>
        <v>0</v>
      </c>
    </row>
    <row r="6" spans="2:37" x14ac:dyDescent="0.2">
      <c r="B6" s="128"/>
      <c r="C6" s="34" t="s">
        <v>68</v>
      </c>
      <c r="D6" s="72">
        <v>2</v>
      </c>
      <c r="E6" s="73" t="s">
        <v>103</v>
      </c>
      <c r="F6" s="74" t="s">
        <v>29</v>
      </c>
      <c r="G6" s="33"/>
      <c r="H6" s="17"/>
      <c r="I6" s="17">
        <f>I5*G6</f>
        <v>0</v>
      </c>
      <c r="J6" s="17"/>
      <c r="K6" s="90">
        <v>0</v>
      </c>
      <c r="L6" s="17"/>
      <c r="M6" s="33"/>
      <c r="N6" s="33"/>
      <c r="O6" s="24"/>
      <c r="P6" s="24"/>
      <c r="Q6" s="24"/>
      <c r="R6" s="17">
        <f>O6*0.045</f>
        <v>0</v>
      </c>
      <c r="S6" s="20"/>
      <c r="T6" s="90">
        <f t="shared" ref="T6:T22" si="1">SUM(O6:R6)*M6*N6</f>
        <v>0</v>
      </c>
      <c r="U6" s="17"/>
      <c r="V6" s="24">
        <v>0</v>
      </c>
      <c r="W6" s="17"/>
      <c r="X6" s="17"/>
      <c r="Y6" s="90"/>
      <c r="Z6" s="17"/>
      <c r="AA6" s="90">
        <v>0</v>
      </c>
      <c r="AB6" s="10"/>
      <c r="AC6" s="10"/>
      <c r="AD6" s="10"/>
      <c r="AE6" s="10"/>
      <c r="AF6" s="10"/>
      <c r="AG6" s="17"/>
      <c r="AH6" s="17"/>
      <c r="AI6" s="17"/>
      <c r="AJ6" s="17"/>
      <c r="AK6" s="100">
        <f t="shared" si="0"/>
        <v>0</v>
      </c>
    </row>
    <row r="7" spans="2:37" x14ac:dyDescent="0.2">
      <c r="B7" s="128"/>
      <c r="C7" s="15" t="s">
        <v>69</v>
      </c>
      <c r="D7" s="75">
        <v>3</v>
      </c>
      <c r="E7" s="73" t="s">
        <v>104</v>
      </c>
      <c r="F7" s="74" t="s">
        <v>29</v>
      </c>
      <c r="G7" s="33"/>
      <c r="H7" s="17"/>
      <c r="I7" s="17">
        <f>I6*G7</f>
        <v>0</v>
      </c>
      <c r="J7" s="17"/>
      <c r="K7" s="90">
        <v>0</v>
      </c>
      <c r="L7" s="17"/>
      <c r="M7" s="33"/>
      <c r="N7" s="33"/>
      <c r="O7" s="24"/>
      <c r="P7" s="24"/>
      <c r="Q7" s="24"/>
      <c r="R7" s="17">
        <f>O7*0.045</f>
        <v>0</v>
      </c>
      <c r="S7" s="20"/>
      <c r="T7" s="90">
        <f t="shared" si="1"/>
        <v>0</v>
      </c>
      <c r="U7" s="17"/>
      <c r="V7" s="24">
        <v>0</v>
      </c>
      <c r="W7" s="17"/>
      <c r="X7" s="17"/>
      <c r="Y7" s="90"/>
      <c r="Z7" s="17"/>
      <c r="AA7" s="90">
        <v>0</v>
      </c>
      <c r="AB7" s="10"/>
      <c r="AC7" s="10"/>
      <c r="AD7" s="10"/>
      <c r="AE7" s="10"/>
      <c r="AF7" s="10"/>
      <c r="AG7" s="17"/>
      <c r="AH7" s="17"/>
      <c r="AI7" s="17"/>
      <c r="AJ7" s="17"/>
      <c r="AK7" s="100">
        <f t="shared" si="0"/>
        <v>0</v>
      </c>
    </row>
    <row r="8" spans="2:37" x14ac:dyDescent="0.2">
      <c r="B8" s="128"/>
      <c r="C8" s="55" t="s">
        <v>94</v>
      </c>
      <c r="D8" s="77">
        <v>4</v>
      </c>
      <c r="E8" s="79" t="s">
        <v>105</v>
      </c>
      <c r="F8" s="80" t="s">
        <v>30</v>
      </c>
      <c r="G8" s="55"/>
      <c r="H8" s="57"/>
      <c r="I8" s="57"/>
      <c r="J8" s="57"/>
      <c r="K8" s="86"/>
      <c r="L8" s="57"/>
      <c r="M8" s="55"/>
      <c r="N8" s="55"/>
      <c r="O8" s="57"/>
      <c r="P8" s="57"/>
      <c r="Q8" s="57"/>
      <c r="R8" s="57"/>
      <c r="S8" s="82"/>
      <c r="T8" s="57">
        <f t="shared" si="1"/>
        <v>0</v>
      </c>
      <c r="U8" s="57"/>
      <c r="V8" s="57"/>
      <c r="W8" s="57"/>
      <c r="X8" s="57"/>
      <c r="Y8" s="86"/>
      <c r="Z8" s="57"/>
      <c r="AA8" s="86">
        <v>5400</v>
      </c>
      <c r="AB8" s="58"/>
      <c r="AC8" s="58"/>
      <c r="AD8" s="58"/>
      <c r="AE8" s="86">
        <v>0</v>
      </c>
      <c r="AF8" s="58"/>
      <c r="AG8" s="57"/>
      <c r="AH8" s="57"/>
      <c r="AI8" s="86">
        <v>0</v>
      </c>
      <c r="AJ8" s="41">
        <v>0</v>
      </c>
      <c r="AK8" s="100">
        <f t="shared" si="0"/>
        <v>5400</v>
      </c>
    </row>
    <row r="9" spans="2:37" x14ac:dyDescent="0.2">
      <c r="B9" s="128" t="s">
        <v>65</v>
      </c>
      <c r="C9" s="51" t="s">
        <v>81</v>
      </c>
      <c r="D9" s="77">
        <v>5</v>
      </c>
      <c r="E9" s="79" t="s">
        <v>106</v>
      </c>
      <c r="F9" s="80" t="s">
        <v>30</v>
      </c>
      <c r="G9" s="55"/>
      <c r="H9" s="57"/>
      <c r="I9" s="57"/>
      <c r="J9" s="57"/>
      <c r="K9" s="86"/>
      <c r="L9" s="57"/>
      <c r="M9" s="55"/>
      <c r="N9" s="55"/>
      <c r="O9" s="57"/>
      <c r="P9" s="57"/>
      <c r="Q9" s="57"/>
      <c r="R9" s="57"/>
      <c r="S9" s="82"/>
      <c r="T9" s="57">
        <f t="shared" si="1"/>
        <v>0</v>
      </c>
      <c r="U9" s="57"/>
      <c r="V9" s="57"/>
      <c r="W9" s="57"/>
      <c r="X9" s="57"/>
      <c r="Y9" s="86"/>
      <c r="Z9" s="57"/>
      <c r="AA9" s="86">
        <v>0</v>
      </c>
      <c r="AB9" s="58"/>
      <c r="AC9" s="58"/>
      <c r="AD9" s="58"/>
      <c r="AE9" s="86">
        <v>0</v>
      </c>
      <c r="AF9" s="58"/>
      <c r="AG9" s="57"/>
      <c r="AH9" s="57"/>
      <c r="AI9" s="86">
        <v>0</v>
      </c>
      <c r="AJ9" s="41">
        <v>0</v>
      </c>
      <c r="AK9" s="100">
        <f t="shared" si="0"/>
        <v>0</v>
      </c>
    </row>
    <row r="10" spans="2:37" x14ac:dyDescent="0.2">
      <c r="B10" s="128"/>
      <c r="C10" s="15" t="s">
        <v>70</v>
      </c>
      <c r="D10" s="75">
        <v>6</v>
      </c>
      <c r="E10" s="73" t="s">
        <v>37</v>
      </c>
      <c r="F10" s="74" t="s">
        <v>29</v>
      </c>
      <c r="G10" s="8">
        <v>23</v>
      </c>
      <c r="H10" s="5">
        <v>245</v>
      </c>
      <c r="I10" s="17">
        <f>H10*G10</f>
        <v>5635</v>
      </c>
      <c r="J10" s="17"/>
      <c r="K10" s="91">
        <v>0</v>
      </c>
      <c r="L10" s="17"/>
      <c r="M10" s="8"/>
      <c r="N10" s="8"/>
      <c r="O10" s="17"/>
      <c r="P10" s="17"/>
      <c r="Q10" s="17"/>
      <c r="R10" s="17">
        <f>O10*0.03</f>
        <v>0</v>
      </c>
      <c r="S10" s="20"/>
      <c r="T10" s="91">
        <f t="shared" si="1"/>
        <v>0</v>
      </c>
      <c r="U10" s="17">
        <v>24000</v>
      </c>
      <c r="V10" s="17"/>
      <c r="W10" s="17"/>
      <c r="X10" s="17"/>
      <c r="Y10" s="91"/>
      <c r="Z10" s="17"/>
      <c r="AA10" s="90">
        <v>0</v>
      </c>
      <c r="AB10" s="10"/>
      <c r="AC10" s="10"/>
      <c r="AD10" s="10"/>
      <c r="AE10" s="10"/>
      <c r="AF10" s="10"/>
      <c r="AG10" s="17"/>
      <c r="AH10" s="17"/>
      <c r="AI10" s="17"/>
      <c r="AJ10" s="17"/>
      <c r="AK10" s="100">
        <f t="shared" si="0"/>
        <v>29635</v>
      </c>
    </row>
    <row r="11" spans="2:37" x14ac:dyDescent="0.2">
      <c r="B11" s="128"/>
      <c r="C11" s="15" t="s">
        <v>71</v>
      </c>
      <c r="D11" s="75">
        <v>7</v>
      </c>
      <c r="E11" s="73" t="s">
        <v>38</v>
      </c>
      <c r="F11" s="74" t="s">
        <v>29</v>
      </c>
      <c r="G11" s="8">
        <v>23</v>
      </c>
      <c r="H11" s="5">
        <v>245</v>
      </c>
      <c r="I11" s="17">
        <f>H11*G11</f>
        <v>5635</v>
      </c>
      <c r="J11" s="17"/>
      <c r="K11" s="91">
        <v>0</v>
      </c>
      <c r="L11" s="17"/>
      <c r="M11" s="8"/>
      <c r="N11" s="8"/>
      <c r="O11" s="17"/>
      <c r="P11" s="17"/>
      <c r="Q11" s="17"/>
      <c r="R11" s="17">
        <f>O11*0.03</f>
        <v>0</v>
      </c>
      <c r="S11" s="20"/>
      <c r="T11" s="91">
        <f t="shared" si="1"/>
        <v>0</v>
      </c>
      <c r="U11" s="17">
        <v>22000</v>
      </c>
      <c r="V11" s="5"/>
      <c r="W11" s="17"/>
      <c r="X11" s="17"/>
      <c r="Y11" s="91"/>
      <c r="Z11" s="17"/>
      <c r="AA11" s="90">
        <v>0</v>
      </c>
      <c r="AB11" s="10"/>
      <c r="AC11" s="10"/>
      <c r="AD11" s="10"/>
      <c r="AE11" s="10"/>
      <c r="AF11" s="10"/>
      <c r="AG11" s="17"/>
      <c r="AH11" s="17"/>
      <c r="AI11" s="17"/>
      <c r="AJ11" s="17"/>
      <c r="AK11" s="100">
        <f t="shared" si="0"/>
        <v>27635</v>
      </c>
    </row>
    <row r="12" spans="2:37" x14ac:dyDescent="0.2">
      <c r="B12" s="128"/>
      <c r="C12" s="51" t="s">
        <v>72</v>
      </c>
      <c r="D12" s="77">
        <v>8</v>
      </c>
      <c r="E12" s="79" t="s">
        <v>40</v>
      </c>
      <c r="F12" s="80" t="s">
        <v>30</v>
      </c>
      <c r="G12" s="55"/>
      <c r="H12" s="57"/>
      <c r="I12" s="57"/>
      <c r="J12" s="57"/>
      <c r="K12" s="86"/>
      <c r="L12" s="57"/>
      <c r="M12" s="55"/>
      <c r="N12" s="55"/>
      <c r="O12" s="57"/>
      <c r="P12" s="57"/>
      <c r="Q12" s="57"/>
      <c r="R12" s="57"/>
      <c r="S12" s="82"/>
      <c r="T12" s="57">
        <f t="shared" si="1"/>
        <v>0</v>
      </c>
      <c r="U12" s="57"/>
      <c r="V12" s="57"/>
      <c r="W12" s="57"/>
      <c r="X12" s="57"/>
      <c r="Y12" s="86"/>
      <c r="Z12" s="57"/>
      <c r="AA12" s="86">
        <v>0</v>
      </c>
      <c r="AB12" s="58"/>
      <c r="AC12" s="58"/>
      <c r="AD12" s="58"/>
      <c r="AE12" s="86">
        <v>0</v>
      </c>
      <c r="AF12" s="58"/>
      <c r="AG12" s="57"/>
      <c r="AH12" s="57"/>
      <c r="AI12" s="86">
        <v>0</v>
      </c>
      <c r="AJ12" s="41">
        <v>0</v>
      </c>
      <c r="AK12" s="100">
        <f t="shared" si="0"/>
        <v>0</v>
      </c>
    </row>
    <row r="13" spans="2:37" x14ac:dyDescent="0.2">
      <c r="B13" s="128"/>
      <c r="C13" s="15" t="s">
        <v>72</v>
      </c>
      <c r="D13" s="75">
        <v>9</v>
      </c>
      <c r="E13" s="73" t="s">
        <v>41</v>
      </c>
      <c r="F13" s="76" t="s">
        <v>29</v>
      </c>
      <c r="G13" s="8">
        <v>23</v>
      </c>
      <c r="H13" s="5">
        <v>771</v>
      </c>
      <c r="I13" s="17">
        <f>H13*G13</f>
        <v>17733</v>
      </c>
      <c r="J13" s="8"/>
      <c r="K13" s="91">
        <v>0</v>
      </c>
      <c r="L13" s="8"/>
      <c r="M13" s="8">
        <v>13</v>
      </c>
      <c r="N13" s="8">
        <v>1</v>
      </c>
      <c r="O13" s="8">
        <v>934</v>
      </c>
      <c r="P13" s="8">
        <v>35</v>
      </c>
      <c r="Q13" s="8">
        <v>30</v>
      </c>
      <c r="R13" s="17">
        <f>O13*0.03</f>
        <v>28.02</v>
      </c>
      <c r="S13" s="20"/>
      <c r="T13" s="91">
        <f t="shared" si="1"/>
        <v>13351.26</v>
      </c>
      <c r="U13" s="17">
        <v>38000</v>
      </c>
      <c r="V13" s="91"/>
      <c r="W13" s="8"/>
      <c r="X13" s="8"/>
      <c r="Y13" s="91"/>
      <c r="Z13" s="91"/>
      <c r="AA13" s="8"/>
      <c r="AB13" s="8"/>
      <c r="AC13" s="8"/>
      <c r="AD13" s="8"/>
      <c r="AE13" s="10"/>
      <c r="AF13" s="10"/>
      <c r="AG13" s="17"/>
      <c r="AH13" s="17"/>
      <c r="AI13" s="17"/>
      <c r="AJ13" s="102"/>
      <c r="AK13" s="104">
        <f t="shared" si="0"/>
        <v>69084.260000000009</v>
      </c>
    </row>
    <row r="14" spans="2:37" x14ac:dyDescent="0.2">
      <c r="B14" s="128" t="s">
        <v>66</v>
      </c>
      <c r="C14" s="15" t="s">
        <v>73</v>
      </c>
      <c r="D14" s="75">
        <v>10</v>
      </c>
      <c r="E14" s="73" t="s">
        <v>102</v>
      </c>
      <c r="F14" s="74" t="s">
        <v>29</v>
      </c>
      <c r="G14" s="33"/>
      <c r="H14" s="21"/>
      <c r="I14" s="17">
        <f>I13*G14</f>
        <v>0</v>
      </c>
      <c r="J14" s="17"/>
      <c r="K14" s="90">
        <v>0</v>
      </c>
      <c r="L14" s="17"/>
      <c r="M14" s="33"/>
      <c r="N14" s="33"/>
      <c r="O14" s="24"/>
      <c r="P14" s="24"/>
      <c r="Q14" s="24"/>
      <c r="R14" s="17">
        <f>O14*0.045</f>
        <v>0</v>
      </c>
      <c r="S14" s="20"/>
      <c r="T14" s="90">
        <f t="shared" si="1"/>
        <v>0</v>
      </c>
      <c r="U14" s="17"/>
      <c r="V14" s="24"/>
      <c r="W14" s="17"/>
      <c r="X14" s="17"/>
      <c r="Y14" s="90"/>
      <c r="Z14" s="17"/>
      <c r="AA14" s="90">
        <v>0</v>
      </c>
      <c r="AB14" s="10"/>
      <c r="AC14" s="10"/>
      <c r="AD14" s="10"/>
      <c r="AE14" s="10"/>
      <c r="AF14" s="10"/>
      <c r="AG14" s="17"/>
      <c r="AH14" s="17"/>
      <c r="AI14" s="17"/>
      <c r="AJ14" s="17"/>
      <c r="AK14" s="100">
        <f t="shared" si="0"/>
        <v>0</v>
      </c>
    </row>
    <row r="15" spans="2:37" x14ac:dyDescent="0.2">
      <c r="B15" s="128"/>
      <c r="C15" s="51" t="s">
        <v>74</v>
      </c>
      <c r="D15" s="77">
        <v>11</v>
      </c>
      <c r="E15" s="79" t="s">
        <v>103</v>
      </c>
      <c r="F15" s="81" t="s">
        <v>30</v>
      </c>
      <c r="G15" s="55"/>
      <c r="H15" s="57"/>
      <c r="I15" s="57"/>
      <c r="J15" s="57"/>
      <c r="K15" s="86"/>
      <c r="L15" s="57"/>
      <c r="M15" s="55"/>
      <c r="N15" s="55"/>
      <c r="O15" s="57"/>
      <c r="P15" s="57"/>
      <c r="Q15" s="57"/>
      <c r="R15" s="57"/>
      <c r="S15" s="82"/>
      <c r="T15" s="57">
        <f t="shared" si="1"/>
        <v>0</v>
      </c>
      <c r="U15" s="57"/>
      <c r="V15" s="57"/>
      <c r="W15" s="57"/>
      <c r="X15" s="57"/>
      <c r="Y15" s="86"/>
      <c r="Z15" s="57"/>
      <c r="AA15" s="86">
        <v>0</v>
      </c>
      <c r="AB15" s="58"/>
      <c r="AC15" s="58"/>
      <c r="AD15" s="58"/>
      <c r="AE15" s="86">
        <v>0</v>
      </c>
      <c r="AF15" s="58"/>
      <c r="AG15" s="57"/>
      <c r="AH15" s="57"/>
      <c r="AI15" s="86">
        <v>0</v>
      </c>
      <c r="AJ15" s="41">
        <v>0</v>
      </c>
      <c r="AK15" s="100">
        <f t="shared" si="0"/>
        <v>0</v>
      </c>
    </row>
    <row r="16" spans="2:37" x14ac:dyDescent="0.2">
      <c r="B16" s="128"/>
      <c r="C16" s="51" t="s">
        <v>75</v>
      </c>
      <c r="D16" s="77">
        <v>12</v>
      </c>
      <c r="E16" s="79" t="s">
        <v>104</v>
      </c>
      <c r="F16" s="81" t="s">
        <v>30</v>
      </c>
      <c r="G16" s="55"/>
      <c r="H16" s="57"/>
      <c r="I16" s="57"/>
      <c r="J16" s="57"/>
      <c r="K16" s="86"/>
      <c r="L16" s="57"/>
      <c r="M16" s="55"/>
      <c r="N16" s="55"/>
      <c r="O16" s="57"/>
      <c r="P16" s="57"/>
      <c r="Q16" s="57"/>
      <c r="R16" s="57"/>
      <c r="S16" s="82"/>
      <c r="T16" s="57">
        <f t="shared" si="1"/>
        <v>0</v>
      </c>
      <c r="U16" s="57"/>
      <c r="V16" s="57"/>
      <c r="W16" s="57"/>
      <c r="X16" s="57"/>
      <c r="Y16" s="86"/>
      <c r="Z16" s="57"/>
      <c r="AA16" s="86">
        <v>5400</v>
      </c>
      <c r="AB16" s="58"/>
      <c r="AC16" s="58"/>
      <c r="AD16" s="58"/>
      <c r="AE16" s="86">
        <v>0</v>
      </c>
      <c r="AF16" s="58"/>
      <c r="AG16" s="57"/>
      <c r="AH16" s="57"/>
      <c r="AI16" s="86">
        <v>0</v>
      </c>
      <c r="AJ16" s="41">
        <v>0</v>
      </c>
      <c r="AK16" s="100">
        <f t="shared" si="0"/>
        <v>5400</v>
      </c>
    </row>
    <row r="17" spans="2:37" x14ac:dyDescent="0.2">
      <c r="B17" s="128"/>
      <c r="C17" s="15" t="s">
        <v>80</v>
      </c>
      <c r="D17" s="75">
        <v>13</v>
      </c>
      <c r="E17" s="73" t="s">
        <v>105</v>
      </c>
      <c r="F17" s="74" t="s">
        <v>29</v>
      </c>
      <c r="G17" s="33"/>
      <c r="H17" s="21"/>
      <c r="I17" s="17">
        <f>I16*G17</f>
        <v>0</v>
      </c>
      <c r="J17" s="17"/>
      <c r="K17" s="90">
        <v>0</v>
      </c>
      <c r="L17" s="17"/>
      <c r="M17" s="33"/>
      <c r="N17" s="33"/>
      <c r="O17" s="24"/>
      <c r="P17" s="24"/>
      <c r="Q17" s="24"/>
      <c r="R17" s="17">
        <f>O17*0.045</f>
        <v>0</v>
      </c>
      <c r="S17" s="20"/>
      <c r="T17" s="90">
        <f t="shared" si="1"/>
        <v>0</v>
      </c>
      <c r="U17" s="17"/>
      <c r="V17" s="24"/>
      <c r="W17" s="17"/>
      <c r="X17" s="17"/>
      <c r="Y17" s="90"/>
      <c r="Z17" s="17"/>
      <c r="AA17" s="90">
        <v>0</v>
      </c>
      <c r="AB17" s="10"/>
      <c r="AC17" s="10"/>
      <c r="AD17" s="10"/>
      <c r="AE17" s="10"/>
      <c r="AF17" s="10"/>
      <c r="AG17" s="17"/>
      <c r="AH17" s="17"/>
      <c r="AI17" s="17"/>
      <c r="AJ17" s="17"/>
      <c r="AK17" s="100">
        <f t="shared" si="0"/>
        <v>0</v>
      </c>
    </row>
    <row r="18" spans="2:37" x14ac:dyDescent="0.2">
      <c r="B18" s="128" t="s">
        <v>67</v>
      </c>
      <c r="C18" s="15" t="s">
        <v>76</v>
      </c>
      <c r="D18" s="75">
        <v>14</v>
      </c>
      <c r="E18" s="73" t="s">
        <v>106</v>
      </c>
      <c r="F18" s="76" t="s">
        <v>29</v>
      </c>
      <c r="G18" s="8">
        <v>23</v>
      </c>
      <c r="H18" s="5">
        <v>245</v>
      </c>
      <c r="I18" s="17">
        <f>H18*G18</f>
        <v>5635</v>
      </c>
      <c r="J18" s="17"/>
      <c r="K18" s="90">
        <v>0</v>
      </c>
      <c r="L18" s="17"/>
      <c r="M18" s="8"/>
      <c r="N18" s="8"/>
      <c r="O18" s="8"/>
      <c r="P18" s="8"/>
      <c r="Q18" s="8"/>
      <c r="R18" s="17">
        <f>O18*0.03</f>
        <v>0</v>
      </c>
      <c r="S18" s="20"/>
      <c r="T18" s="91">
        <f t="shared" si="1"/>
        <v>0</v>
      </c>
      <c r="U18" s="91">
        <v>16000</v>
      </c>
      <c r="V18" s="24"/>
      <c r="W18" s="17"/>
      <c r="X18" s="17"/>
      <c r="Y18" s="91"/>
      <c r="Z18" s="17"/>
      <c r="AA18" s="90">
        <v>0</v>
      </c>
      <c r="AB18" s="10"/>
      <c r="AC18" s="10"/>
      <c r="AD18" s="10"/>
      <c r="AE18" s="10"/>
      <c r="AF18" s="10"/>
      <c r="AG18" s="17"/>
      <c r="AH18" s="17"/>
      <c r="AI18" s="17"/>
      <c r="AJ18" s="17"/>
      <c r="AK18" s="100">
        <f t="shared" si="0"/>
        <v>21635</v>
      </c>
    </row>
    <row r="19" spans="2:37" x14ac:dyDescent="0.2">
      <c r="B19" s="128"/>
      <c r="C19" s="51" t="s">
        <v>77</v>
      </c>
      <c r="D19" s="77">
        <v>15</v>
      </c>
      <c r="E19" s="79" t="s">
        <v>37</v>
      </c>
      <c r="F19" s="81" t="s">
        <v>30</v>
      </c>
      <c r="G19" s="82"/>
      <c r="H19" s="82"/>
      <c r="I19" s="82"/>
      <c r="J19" s="57"/>
      <c r="K19" s="93"/>
      <c r="L19" s="57"/>
      <c r="M19" s="54"/>
      <c r="N19" s="54"/>
      <c r="O19" s="54"/>
      <c r="P19" s="83"/>
      <c r="Q19" s="83"/>
      <c r="R19" s="83"/>
      <c r="S19" s="82"/>
      <c r="T19" s="83">
        <f t="shared" si="1"/>
        <v>0</v>
      </c>
      <c r="U19" s="57"/>
      <c r="V19" s="54"/>
      <c r="W19" s="57"/>
      <c r="X19" s="57"/>
      <c r="Y19" s="94"/>
      <c r="Z19" s="57"/>
      <c r="AA19" s="86">
        <v>0</v>
      </c>
      <c r="AB19" s="58"/>
      <c r="AC19" s="58"/>
      <c r="AD19" s="58"/>
      <c r="AE19" s="86">
        <v>0</v>
      </c>
      <c r="AF19" s="58"/>
      <c r="AG19" s="57"/>
      <c r="AH19" s="57"/>
      <c r="AI19" s="86">
        <v>0</v>
      </c>
      <c r="AJ19" s="41">
        <v>0</v>
      </c>
      <c r="AK19" s="100">
        <f t="shared" si="0"/>
        <v>0</v>
      </c>
    </row>
    <row r="20" spans="2:37" x14ac:dyDescent="0.2">
      <c r="B20" s="128"/>
      <c r="C20" s="51" t="s">
        <v>78</v>
      </c>
      <c r="D20" s="77">
        <v>16</v>
      </c>
      <c r="E20" s="79" t="s">
        <v>38</v>
      </c>
      <c r="F20" s="81" t="s">
        <v>30</v>
      </c>
      <c r="G20" s="82"/>
      <c r="H20" s="82"/>
      <c r="I20" s="82"/>
      <c r="J20" s="57"/>
      <c r="K20" s="93"/>
      <c r="L20" s="57"/>
      <c r="M20" s="54"/>
      <c r="N20" s="54"/>
      <c r="O20" s="54"/>
      <c r="P20" s="83"/>
      <c r="Q20" s="83"/>
      <c r="R20" s="83"/>
      <c r="S20" s="82"/>
      <c r="T20" s="83">
        <f t="shared" si="1"/>
        <v>0</v>
      </c>
      <c r="U20" s="57"/>
      <c r="V20" s="54"/>
      <c r="W20" s="57"/>
      <c r="X20" s="57"/>
      <c r="Y20" s="94"/>
      <c r="Z20" s="57"/>
      <c r="AA20" s="86">
        <v>0</v>
      </c>
      <c r="AB20" s="58"/>
      <c r="AC20" s="58"/>
      <c r="AD20" s="58"/>
      <c r="AE20" s="86">
        <v>0</v>
      </c>
      <c r="AF20" s="58"/>
      <c r="AG20" s="57"/>
      <c r="AH20" s="57"/>
      <c r="AI20" s="86">
        <v>0</v>
      </c>
      <c r="AJ20" s="41">
        <v>0</v>
      </c>
      <c r="AK20" s="100">
        <f t="shared" si="0"/>
        <v>0</v>
      </c>
    </row>
    <row r="21" spans="2:37" x14ac:dyDescent="0.2">
      <c r="B21" s="128"/>
      <c r="C21" s="15" t="s">
        <v>79</v>
      </c>
      <c r="D21" s="75">
        <v>17</v>
      </c>
      <c r="E21" s="73" t="s">
        <v>40</v>
      </c>
      <c r="F21" s="76" t="s">
        <v>29</v>
      </c>
      <c r="G21" s="33"/>
      <c r="H21" s="21"/>
      <c r="I21" s="17">
        <f>I20*G21</f>
        <v>0</v>
      </c>
      <c r="J21" s="17"/>
      <c r="K21" s="90">
        <v>0</v>
      </c>
      <c r="L21" s="17"/>
      <c r="M21" s="33"/>
      <c r="N21" s="33"/>
      <c r="O21" s="24"/>
      <c r="P21" s="24"/>
      <c r="Q21" s="24"/>
      <c r="R21" s="17">
        <f>O21*0.045</f>
        <v>0</v>
      </c>
      <c r="S21" s="20"/>
      <c r="T21" s="90">
        <f t="shared" si="1"/>
        <v>0</v>
      </c>
      <c r="U21" s="17"/>
      <c r="V21" s="24">
        <v>0</v>
      </c>
      <c r="W21" s="17"/>
      <c r="X21" s="17"/>
      <c r="Y21" s="90"/>
      <c r="Z21" s="17"/>
      <c r="AA21" s="90">
        <v>0</v>
      </c>
      <c r="AB21" s="10"/>
      <c r="AC21" s="10"/>
      <c r="AD21" s="10"/>
      <c r="AE21" s="10"/>
      <c r="AF21" s="10"/>
      <c r="AG21" s="17"/>
      <c r="AH21" s="17"/>
      <c r="AI21" s="17"/>
      <c r="AJ21" s="17"/>
      <c r="AK21" s="100">
        <f t="shared" si="0"/>
        <v>0</v>
      </c>
    </row>
    <row r="22" spans="2:37" x14ac:dyDescent="0.2">
      <c r="B22" s="128"/>
      <c r="C22" s="51" t="s">
        <v>79</v>
      </c>
      <c r="D22" s="77">
        <v>18</v>
      </c>
      <c r="E22" s="79" t="s">
        <v>41</v>
      </c>
      <c r="F22" s="81" t="s">
        <v>30</v>
      </c>
      <c r="G22" s="82"/>
      <c r="H22" s="82"/>
      <c r="I22" s="82"/>
      <c r="J22" s="57"/>
      <c r="K22" s="93"/>
      <c r="L22" s="57"/>
      <c r="M22" s="54"/>
      <c r="N22" s="54"/>
      <c r="O22" s="54"/>
      <c r="P22" s="83"/>
      <c r="Q22" s="83"/>
      <c r="R22" s="83"/>
      <c r="S22" s="82"/>
      <c r="T22" s="83">
        <f t="shared" si="1"/>
        <v>0</v>
      </c>
      <c r="U22" s="57"/>
      <c r="V22" s="54"/>
      <c r="W22" s="57"/>
      <c r="X22" s="57"/>
      <c r="Y22" s="94"/>
      <c r="Z22" s="57"/>
      <c r="AA22" s="86">
        <v>0</v>
      </c>
      <c r="AB22" s="58"/>
      <c r="AC22" s="58"/>
      <c r="AD22" s="58"/>
      <c r="AE22" s="86">
        <v>0</v>
      </c>
      <c r="AF22" s="58"/>
      <c r="AG22" s="57"/>
      <c r="AH22" s="57"/>
      <c r="AI22" s="86">
        <v>0</v>
      </c>
      <c r="AJ22" s="41">
        <v>0</v>
      </c>
      <c r="AK22" s="100">
        <f t="shared" si="0"/>
        <v>0</v>
      </c>
    </row>
    <row r="23" spans="2:37" x14ac:dyDescent="0.2">
      <c r="B23" s="35"/>
      <c r="C23" s="12"/>
      <c r="D23" s="37"/>
      <c r="E23" s="38"/>
      <c r="F23" s="39"/>
      <c r="G23" s="59" t="s">
        <v>95</v>
      </c>
      <c r="H23" s="60"/>
      <c r="I23" s="60">
        <f>SUM(I4:I22)</f>
        <v>34638</v>
      </c>
      <c r="J23" s="60">
        <f>SUM(J4:J22)</f>
        <v>0</v>
      </c>
      <c r="K23" s="60">
        <f>SUM(K4:K22)</f>
        <v>0</v>
      </c>
      <c r="L23" s="60">
        <f>SUM(L4:L22)</f>
        <v>0</v>
      </c>
      <c r="M23" s="60"/>
      <c r="N23" s="60"/>
      <c r="O23" s="60"/>
      <c r="P23" s="60"/>
      <c r="Q23" s="60"/>
      <c r="R23" s="60"/>
      <c r="S23" s="60">
        <f t="shared" ref="S23:AJ23" si="2">SUM(S4:S22)</f>
        <v>0</v>
      </c>
      <c r="T23" s="60">
        <f t="shared" si="2"/>
        <v>13351.26</v>
      </c>
      <c r="U23" s="60">
        <f t="shared" si="2"/>
        <v>100000</v>
      </c>
      <c r="V23" s="60">
        <f t="shared" si="2"/>
        <v>0</v>
      </c>
      <c r="W23" s="60">
        <f t="shared" si="2"/>
        <v>0</v>
      </c>
      <c r="X23" s="60">
        <f t="shared" si="2"/>
        <v>0</v>
      </c>
      <c r="Y23" s="60">
        <f t="shared" si="2"/>
        <v>0</v>
      </c>
      <c r="Z23" s="60">
        <f t="shared" si="2"/>
        <v>0</v>
      </c>
      <c r="AA23" s="60">
        <f t="shared" si="2"/>
        <v>10800</v>
      </c>
      <c r="AB23" s="60">
        <f t="shared" si="2"/>
        <v>0</v>
      </c>
      <c r="AC23" s="60">
        <f t="shared" si="2"/>
        <v>0</v>
      </c>
      <c r="AD23" s="60">
        <f t="shared" si="2"/>
        <v>0</v>
      </c>
      <c r="AE23" s="60">
        <f t="shared" si="2"/>
        <v>0</v>
      </c>
      <c r="AF23" s="60">
        <f t="shared" si="2"/>
        <v>0</v>
      </c>
      <c r="AG23" s="60">
        <f t="shared" si="2"/>
        <v>0</v>
      </c>
      <c r="AH23" s="60">
        <f t="shared" si="2"/>
        <v>0</v>
      </c>
      <c r="AI23" s="60">
        <f t="shared" si="2"/>
        <v>0</v>
      </c>
      <c r="AJ23" s="60">
        <f t="shared" si="2"/>
        <v>0</v>
      </c>
      <c r="AK23" s="99">
        <f>SUM(AK5:AK22)</f>
        <v>158789.26</v>
      </c>
    </row>
    <row r="24" spans="2:37" x14ac:dyDescent="0.2">
      <c r="E24" s="22"/>
      <c r="L24" s="18"/>
      <c r="N24" s="19"/>
      <c r="P24" s="19"/>
      <c r="Q24" s="19"/>
      <c r="R24" s="19"/>
      <c r="S24" s="19"/>
      <c r="T24" s="19"/>
      <c r="Y24" s="18"/>
    </row>
    <row r="25" spans="2:37" ht="17" thickBot="1" x14ac:dyDescent="0.25">
      <c r="E25" s="13"/>
      <c r="F25" s="45" t="s">
        <v>54</v>
      </c>
      <c r="G25" s="45" t="s">
        <v>55</v>
      </c>
      <c r="H25" s="45" t="s">
        <v>56</v>
      </c>
      <c r="I25" s="45" t="s">
        <v>57</v>
      </c>
      <c r="J25" s="45" t="s">
        <v>58</v>
      </c>
      <c r="K25" s="45" t="s">
        <v>59</v>
      </c>
      <c r="L25" s="18"/>
      <c r="N25" s="19"/>
      <c r="P25" s="19"/>
      <c r="Q25" s="19"/>
      <c r="R25" s="19"/>
      <c r="S25" s="19"/>
      <c r="T25" s="19"/>
      <c r="Y25" s="18"/>
    </row>
    <row r="26" spans="2:37" ht="15.5" customHeight="1" x14ac:dyDescent="0.2">
      <c r="D26" s="124" t="s">
        <v>44</v>
      </c>
      <c r="E26" s="25" t="s">
        <v>45</v>
      </c>
      <c r="F26" s="26"/>
      <c r="G26" s="26"/>
      <c r="H26" s="26"/>
      <c r="I26" s="26"/>
      <c r="J26" s="26"/>
      <c r="K26" s="27"/>
      <c r="L26" s="18"/>
      <c r="N26" s="19"/>
      <c r="P26" s="19"/>
      <c r="Q26" s="19"/>
      <c r="R26" s="19"/>
      <c r="S26" s="19"/>
      <c r="T26" s="19"/>
      <c r="Y26" s="18"/>
    </row>
    <row r="27" spans="2:37" x14ac:dyDescent="0.2">
      <c r="D27" s="124"/>
      <c r="E27" s="6" t="s">
        <v>46</v>
      </c>
      <c r="F27" s="17">
        <f>SUM(I5:I8)</f>
        <v>0</v>
      </c>
      <c r="G27" s="17">
        <f>SUM(I9:I13)</f>
        <v>29003</v>
      </c>
      <c r="H27" s="17">
        <f>SUM(I14:I17)</f>
        <v>0</v>
      </c>
      <c r="I27" s="17">
        <f>SUM(I18:I22)</f>
        <v>5635</v>
      </c>
      <c r="J27" s="17"/>
      <c r="K27" s="28"/>
      <c r="L27" s="18">
        <f>SUM(F27:K27)</f>
        <v>34638</v>
      </c>
      <c r="N27" s="19"/>
      <c r="P27" s="19"/>
      <c r="Q27" s="19"/>
      <c r="R27" s="19"/>
      <c r="S27" s="19"/>
      <c r="T27" s="19"/>
      <c r="Y27" s="18"/>
    </row>
    <row r="28" spans="2:37" x14ac:dyDescent="0.2">
      <c r="D28" s="124"/>
      <c r="E28" s="6" t="s">
        <v>47</v>
      </c>
      <c r="F28" s="17">
        <f>SUM(J5:L8)</f>
        <v>0</v>
      </c>
      <c r="G28" s="17">
        <f>SUM(J9:L13)</f>
        <v>0</v>
      </c>
      <c r="H28" s="17">
        <f>SUM(J14:L17)</f>
        <v>0</v>
      </c>
      <c r="I28" s="17">
        <f>SUM(J18:L22)</f>
        <v>0</v>
      </c>
      <c r="J28" s="17"/>
      <c r="K28" s="28"/>
      <c r="L28" s="18">
        <f>SUM(F28:K28)</f>
        <v>0</v>
      </c>
      <c r="N28" s="19"/>
      <c r="P28" s="19"/>
      <c r="Q28" s="19"/>
      <c r="R28" s="19"/>
      <c r="S28" s="19"/>
      <c r="T28" s="19"/>
      <c r="Y28" s="18"/>
    </row>
    <row r="29" spans="2:37" x14ac:dyDescent="0.2">
      <c r="D29" s="124"/>
      <c r="E29" s="4" t="s">
        <v>18</v>
      </c>
      <c r="F29" s="17"/>
      <c r="G29" s="17"/>
      <c r="H29" s="17"/>
      <c r="I29" s="17"/>
      <c r="J29" s="17"/>
      <c r="K29" s="28"/>
      <c r="L29" s="18"/>
      <c r="N29" s="19"/>
      <c r="P29" s="19"/>
      <c r="Q29" s="19"/>
      <c r="R29" s="19"/>
      <c r="S29" s="19"/>
      <c r="T29" s="19"/>
      <c r="Y29" s="18"/>
    </row>
    <row r="30" spans="2:37" x14ac:dyDescent="0.2">
      <c r="D30" s="124"/>
      <c r="E30" s="6" t="s">
        <v>52</v>
      </c>
      <c r="F30" s="17">
        <f>SUM(T5:T8)</f>
        <v>0</v>
      </c>
      <c r="G30" s="17">
        <f>SUM(T9:T13)</f>
        <v>13351.26</v>
      </c>
      <c r="H30" s="17">
        <f>SUM(T14:T17)</f>
        <v>0</v>
      </c>
      <c r="I30" s="17">
        <f>SUM(T18:T22)</f>
        <v>0</v>
      </c>
      <c r="J30" s="17"/>
      <c r="K30" s="28"/>
      <c r="L30" s="18">
        <f t="shared" ref="L30:L48" si="3">SUM(F30:K30)</f>
        <v>13351.26</v>
      </c>
      <c r="Y30" s="18"/>
      <c r="AA30" s="18"/>
      <c r="AB30" s="18"/>
      <c r="AC30" s="18"/>
      <c r="AD30" s="18"/>
      <c r="AE30" s="18"/>
      <c r="AF30" s="18"/>
    </row>
    <row r="31" spans="2:37" x14ac:dyDescent="0.2">
      <c r="D31" s="124"/>
      <c r="E31" s="6" t="s">
        <v>17</v>
      </c>
      <c r="F31" s="17"/>
      <c r="G31" s="17"/>
      <c r="H31" s="17"/>
      <c r="I31" s="17"/>
      <c r="J31" s="17"/>
      <c r="K31" s="28"/>
      <c r="L31" s="18">
        <f t="shared" si="3"/>
        <v>0</v>
      </c>
      <c r="Y31" s="18"/>
      <c r="AA31" s="18"/>
      <c r="AB31" s="18"/>
      <c r="AC31" s="18"/>
      <c r="AD31" s="18"/>
      <c r="AE31" s="18"/>
      <c r="AF31" s="18"/>
    </row>
    <row r="32" spans="2:37" x14ac:dyDescent="0.2">
      <c r="D32" s="124"/>
      <c r="E32" s="4" t="s">
        <v>97</v>
      </c>
      <c r="F32" s="17">
        <f>SUM(U5:U8)</f>
        <v>0</v>
      </c>
      <c r="G32" s="17">
        <f>SUM(U9:U13)</f>
        <v>84000</v>
      </c>
      <c r="H32" s="17">
        <f>SUM(U14:U17)</f>
        <v>0</v>
      </c>
      <c r="I32" s="17">
        <f>SUM(U18:U22)</f>
        <v>16000</v>
      </c>
      <c r="J32" s="17"/>
      <c r="K32" s="28"/>
      <c r="L32" s="18">
        <f t="shared" si="3"/>
        <v>100000</v>
      </c>
      <c r="N32" s="19"/>
      <c r="Y32" s="18"/>
      <c r="AA32" s="18"/>
      <c r="AB32" s="18"/>
      <c r="AC32" s="18"/>
      <c r="AD32" s="18"/>
      <c r="AE32" s="18"/>
      <c r="AF32" s="18"/>
    </row>
    <row r="33" spans="1:37" x14ac:dyDescent="0.2">
      <c r="D33" s="124"/>
      <c r="E33" s="47" t="s">
        <v>101</v>
      </c>
      <c r="F33" s="17">
        <f>SUM(V5:V8)</f>
        <v>0</v>
      </c>
      <c r="G33" s="17">
        <f>SUM(V9:V13)</f>
        <v>0</v>
      </c>
      <c r="H33" s="17">
        <f>SUM(V14:V17)</f>
        <v>0</v>
      </c>
      <c r="I33" s="17">
        <f>SUM(V18:V22)</f>
        <v>0</v>
      </c>
      <c r="J33" s="17"/>
      <c r="K33" s="28"/>
      <c r="L33" s="18">
        <f t="shared" si="3"/>
        <v>0</v>
      </c>
      <c r="N33" s="19"/>
      <c r="Y33" s="18"/>
      <c r="AA33" s="18"/>
      <c r="AB33" s="18"/>
      <c r="AC33" s="18"/>
      <c r="AD33" s="18"/>
      <c r="AE33" s="18"/>
      <c r="AF33" s="18"/>
    </row>
    <row r="34" spans="1:37" x14ac:dyDescent="0.2">
      <c r="D34" s="124"/>
      <c r="E34" s="4" t="s">
        <v>20</v>
      </c>
      <c r="F34" s="17"/>
      <c r="G34" s="17"/>
      <c r="H34" s="17"/>
      <c r="I34" s="17"/>
      <c r="J34" s="17"/>
      <c r="K34" s="28"/>
      <c r="L34" s="18">
        <f t="shared" si="3"/>
        <v>0</v>
      </c>
    </row>
    <row r="35" spans="1:37" s="7" customFormat="1" ht="17" thickBot="1" x14ac:dyDescent="0.25">
      <c r="A35" s="21"/>
      <c r="B35" s="21"/>
      <c r="C35" s="21"/>
      <c r="D35" s="125"/>
      <c r="E35" s="29" t="s">
        <v>21</v>
      </c>
      <c r="F35" s="30"/>
      <c r="G35" s="30"/>
      <c r="H35" s="30"/>
      <c r="I35" s="30"/>
      <c r="J35" s="30"/>
      <c r="K35" s="31"/>
      <c r="L35" s="18">
        <f t="shared" si="3"/>
        <v>0</v>
      </c>
      <c r="N35" s="19"/>
      <c r="AK35" s="21"/>
    </row>
    <row r="36" spans="1:37" s="7" customFormat="1" x14ac:dyDescent="0.2">
      <c r="A36" s="21"/>
      <c r="B36" s="21"/>
      <c r="C36" s="21"/>
      <c r="D36" s="126" t="s">
        <v>87</v>
      </c>
      <c r="E36" s="46" t="s">
        <v>45</v>
      </c>
      <c r="F36" s="61">
        <f>SUM(Y5:Y8)</f>
        <v>0</v>
      </c>
      <c r="G36" s="61">
        <f>SUM(Y9:Y13)</f>
        <v>0</v>
      </c>
      <c r="H36" s="61">
        <f>SUM(Y14:Y17)</f>
        <v>0</v>
      </c>
      <c r="I36" s="61">
        <f>SUM(Y18:Y22)</f>
        <v>0</v>
      </c>
      <c r="J36" s="61"/>
      <c r="K36" s="62"/>
      <c r="L36" s="18">
        <f t="shared" si="3"/>
        <v>0</v>
      </c>
      <c r="AK36" s="21"/>
    </row>
    <row r="37" spans="1:37" s="7" customFormat="1" x14ac:dyDescent="0.2">
      <c r="A37" s="21"/>
      <c r="B37" s="21"/>
      <c r="C37" s="21"/>
      <c r="D37" s="126"/>
      <c r="E37" s="47" t="s">
        <v>27</v>
      </c>
      <c r="F37" s="17"/>
      <c r="G37" s="17"/>
      <c r="H37" s="17"/>
      <c r="I37" s="17"/>
      <c r="J37" s="17"/>
      <c r="K37" s="28"/>
      <c r="L37" s="18">
        <f t="shared" si="3"/>
        <v>0</v>
      </c>
      <c r="AK37" s="21"/>
    </row>
    <row r="38" spans="1:37" s="7" customFormat="1" ht="17" x14ac:dyDescent="0.2">
      <c r="A38" s="21"/>
      <c r="B38" s="21"/>
      <c r="C38" s="21"/>
      <c r="D38" s="126"/>
      <c r="E38" s="48" t="s">
        <v>5</v>
      </c>
      <c r="F38" s="95">
        <f>SUM(AA5:AA8)</f>
        <v>5400</v>
      </c>
      <c r="G38" s="17">
        <f>SUM(AA9:AA13)</f>
        <v>0</v>
      </c>
      <c r="H38" s="17">
        <f>SUM(AA14:AA17)</f>
        <v>5400</v>
      </c>
      <c r="I38" s="17">
        <f>SUM(AA18:AA22)</f>
        <v>0</v>
      </c>
      <c r="J38" s="8"/>
      <c r="K38" s="63"/>
      <c r="L38" s="18">
        <f t="shared" si="3"/>
        <v>10800</v>
      </c>
      <c r="AK38" s="21"/>
    </row>
    <row r="39" spans="1:37" s="7" customFormat="1" ht="17" x14ac:dyDescent="0.2">
      <c r="A39" s="21"/>
      <c r="B39" s="21"/>
      <c r="C39" s="21"/>
      <c r="D39" s="126"/>
      <c r="E39" s="48" t="s">
        <v>93</v>
      </c>
      <c r="F39" s="23"/>
      <c r="G39" s="8"/>
      <c r="H39" s="8"/>
      <c r="I39" s="8"/>
      <c r="J39" s="8"/>
      <c r="K39" s="63"/>
      <c r="L39" s="18">
        <f t="shared" si="3"/>
        <v>0</v>
      </c>
      <c r="AK39" s="21"/>
    </row>
    <row r="40" spans="1:37" s="7" customFormat="1" ht="17" x14ac:dyDescent="0.2">
      <c r="A40" s="21"/>
      <c r="B40" s="21"/>
      <c r="C40" s="21"/>
      <c r="D40" s="126"/>
      <c r="E40" s="48" t="s">
        <v>92</v>
      </c>
      <c r="F40" s="23"/>
      <c r="G40" s="8"/>
      <c r="H40" s="8"/>
      <c r="I40" s="8"/>
      <c r="J40" s="8"/>
      <c r="K40" s="63"/>
      <c r="L40" s="18">
        <f t="shared" si="3"/>
        <v>0</v>
      </c>
      <c r="AK40" s="21"/>
    </row>
    <row r="41" spans="1:37" s="7" customFormat="1" ht="17" x14ac:dyDescent="0.2">
      <c r="A41" s="21"/>
      <c r="B41" s="21"/>
      <c r="C41" s="21"/>
      <c r="D41" s="126"/>
      <c r="E41" s="48" t="s">
        <v>91</v>
      </c>
      <c r="F41" s="23"/>
      <c r="G41" s="8"/>
      <c r="H41" s="8"/>
      <c r="I41" s="8"/>
      <c r="J41" s="8"/>
      <c r="K41" s="63"/>
      <c r="L41" s="18">
        <f t="shared" si="3"/>
        <v>0</v>
      </c>
      <c r="AK41" s="21"/>
    </row>
    <row r="42" spans="1:37" s="7" customFormat="1" ht="17" x14ac:dyDescent="0.2">
      <c r="A42" s="21"/>
      <c r="B42" s="21"/>
      <c r="C42" s="21"/>
      <c r="D42" s="126"/>
      <c r="E42" s="48" t="s">
        <v>25</v>
      </c>
      <c r="F42" s="95">
        <f>SUM(AE5:AE8)</f>
        <v>0</v>
      </c>
      <c r="G42" s="17">
        <f>SUM(AE9:AE13)</f>
        <v>0</v>
      </c>
      <c r="H42" s="96">
        <f>SUM(AE14:AE17)</f>
        <v>0</v>
      </c>
      <c r="I42" s="96">
        <f>SUM(AE18:AE22)</f>
        <v>0</v>
      </c>
      <c r="J42" s="8"/>
      <c r="K42" s="63"/>
      <c r="L42" s="18">
        <f t="shared" si="3"/>
        <v>0</v>
      </c>
      <c r="AK42" s="21"/>
    </row>
    <row r="43" spans="1:37" s="7" customFormat="1" ht="17" x14ac:dyDescent="0.2">
      <c r="A43" s="21"/>
      <c r="B43" s="21"/>
      <c r="C43" s="21"/>
      <c r="D43" s="126"/>
      <c r="E43" s="48" t="s">
        <v>90</v>
      </c>
      <c r="F43" s="23"/>
      <c r="G43" s="8"/>
      <c r="H43" s="8"/>
      <c r="I43" s="8"/>
      <c r="J43" s="8"/>
      <c r="K43" s="63"/>
      <c r="L43" s="18">
        <f t="shared" si="3"/>
        <v>0</v>
      </c>
      <c r="AK43" s="21"/>
    </row>
    <row r="44" spans="1:37" s="7" customFormat="1" ht="17" x14ac:dyDescent="0.2">
      <c r="A44" s="21"/>
      <c r="B44" s="21"/>
      <c r="C44" s="21"/>
      <c r="D44" s="126"/>
      <c r="E44" s="48" t="s">
        <v>89</v>
      </c>
      <c r="F44" s="23"/>
      <c r="G44" s="8"/>
      <c r="H44" s="8"/>
      <c r="I44" s="8"/>
      <c r="J44" s="8"/>
      <c r="K44" s="63"/>
      <c r="L44" s="18">
        <f t="shared" si="3"/>
        <v>0</v>
      </c>
      <c r="AK44" s="21"/>
    </row>
    <row r="45" spans="1:37" s="7" customFormat="1" ht="17" x14ac:dyDescent="0.2">
      <c r="A45" s="21"/>
      <c r="B45" s="21"/>
      <c r="C45" s="21"/>
      <c r="D45" s="126"/>
      <c r="E45" s="48" t="s">
        <v>23</v>
      </c>
      <c r="F45" s="23"/>
      <c r="G45" s="8"/>
      <c r="H45" s="8"/>
      <c r="I45" s="8"/>
      <c r="J45" s="8"/>
      <c r="K45" s="63"/>
      <c r="L45" s="18">
        <f t="shared" si="3"/>
        <v>0</v>
      </c>
      <c r="AK45" s="21"/>
    </row>
    <row r="46" spans="1:37" s="7" customFormat="1" ht="17" x14ac:dyDescent="0.2">
      <c r="A46" s="21"/>
      <c r="B46" s="21"/>
      <c r="C46" s="21"/>
      <c r="D46" s="126"/>
      <c r="E46" s="48" t="s">
        <v>24</v>
      </c>
      <c r="F46" s="95">
        <f>SUM(AI5:AI8)</f>
        <v>0</v>
      </c>
      <c r="G46" s="17">
        <f>SUM(AI9:AI13)</f>
        <v>0</v>
      </c>
      <c r="H46" s="17">
        <f>SUM(AI14:AI17)</f>
        <v>0</v>
      </c>
      <c r="I46" s="17">
        <f>SUM(AI18:AI22)</f>
        <v>0</v>
      </c>
      <c r="J46" s="8"/>
      <c r="K46" s="63"/>
      <c r="L46" s="18">
        <f t="shared" si="3"/>
        <v>0</v>
      </c>
      <c r="AK46" s="21"/>
    </row>
    <row r="47" spans="1:37" s="7" customFormat="1" ht="18" thickBot="1" x14ac:dyDescent="0.25">
      <c r="A47" s="21"/>
      <c r="B47" s="21"/>
      <c r="C47" s="21"/>
      <c r="D47" s="126"/>
      <c r="E47" s="49" t="s">
        <v>88</v>
      </c>
      <c r="F47" s="97">
        <f>SUM(AJ5:AJ8)</f>
        <v>0</v>
      </c>
      <c r="G47" s="30">
        <f>SUM(AJ9:AJ13)</f>
        <v>0</v>
      </c>
      <c r="H47" s="30">
        <f>SUM(AJ14:AJ17)</f>
        <v>0</v>
      </c>
      <c r="I47" s="30">
        <f>SUM(AJ18:AJ22)</f>
        <v>0</v>
      </c>
      <c r="J47" s="64"/>
      <c r="K47" s="65"/>
      <c r="L47" s="18">
        <f t="shared" si="3"/>
        <v>0</v>
      </c>
      <c r="AK47" s="21"/>
    </row>
    <row r="48" spans="1:37" s="7" customFormat="1" x14ac:dyDescent="0.2">
      <c r="A48" s="21"/>
      <c r="B48" s="21"/>
      <c r="C48" s="21"/>
      <c r="D48" s="21"/>
      <c r="E48" s="68" t="s">
        <v>98</v>
      </c>
      <c r="F48" s="69">
        <f t="shared" ref="F48:K48" si="4">SUM(F26:F47)</f>
        <v>5400</v>
      </c>
      <c r="G48" s="69">
        <f t="shared" si="4"/>
        <v>126354.26000000001</v>
      </c>
      <c r="H48" s="69">
        <f t="shared" si="4"/>
        <v>5400</v>
      </c>
      <c r="I48" s="69">
        <f t="shared" si="4"/>
        <v>21635</v>
      </c>
      <c r="J48" s="69">
        <f t="shared" si="4"/>
        <v>0</v>
      </c>
      <c r="K48" s="69">
        <f t="shared" si="4"/>
        <v>0</v>
      </c>
      <c r="L48" s="18">
        <f t="shared" si="3"/>
        <v>158789.26</v>
      </c>
      <c r="AK48" s="21"/>
    </row>
  </sheetData>
  <mergeCells count="17">
    <mergeCell ref="H2:X2"/>
    <mergeCell ref="Y2:AJ2"/>
    <mergeCell ref="C3:C4"/>
    <mergeCell ref="D3:D4"/>
    <mergeCell ref="E3:E4"/>
    <mergeCell ref="F3:F4"/>
    <mergeCell ref="G3:G4"/>
    <mergeCell ref="H3:L3"/>
    <mergeCell ref="M3:T3"/>
    <mergeCell ref="U3:X3"/>
    <mergeCell ref="D26:D35"/>
    <mergeCell ref="D36:D47"/>
    <mergeCell ref="AB3:AJ3"/>
    <mergeCell ref="B5:B8"/>
    <mergeCell ref="B9:B13"/>
    <mergeCell ref="B14:B17"/>
    <mergeCell ref="B18:B22"/>
  </mergeCells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134AC7-6026-416E-98CC-3D146DC4C664}">
  <sheetPr>
    <tabColor theme="7" tint="0.59999389629810485"/>
  </sheetPr>
  <dimension ref="A2:AK46"/>
  <sheetViews>
    <sheetView showGridLines="0" topLeftCell="A16" zoomScale="80" zoomScaleNormal="80" workbookViewId="0">
      <selection activeCell="AJ5" sqref="AJ5:AJ20"/>
    </sheetView>
  </sheetViews>
  <sheetFormatPr baseColWidth="10" defaultColWidth="13.83203125" defaultRowHeight="16" x14ac:dyDescent="0.2"/>
  <cols>
    <col min="1" max="1" width="3.6640625" style="21" customWidth="1"/>
    <col min="2" max="4" width="13.83203125" style="21"/>
    <col min="5" max="5" width="33.83203125" style="21" customWidth="1"/>
    <col min="6" max="6" width="13.83203125" style="21"/>
    <col min="7" max="7" width="17.6640625" style="7" bestFit="1" customWidth="1"/>
    <col min="8" max="8" width="14" style="7" customWidth="1"/>
    <col min="9" max="9" width="16.33203125" style="7" customWidth="1"/>
    <col min="10" max="11" width="14.33203125" style="7" customWidth="1"/>
    <col min="12" max="12" width="16" style="7" customWidth="1"/>
    <col min="13" max="13" width="12.6640625" style="7" customWidth="1"/>
    <col min="14" max="18" width="14.33203125" style="7" customWidth="1"/>
    <col min="19" max="19" width="15.6640625" style="7" customWidth="1"/>
    <col min="20" max="20" width="14.33203125" style="7" customWidth="1"/>
    <col min="21" max="23" width="11.5" style="7" customWidth="1"/>
    <col min="24" max="24" width="13.83203125" style="7" customWidth="1"/>
    <col min="25" max="25" width="17.1640625" style="7" customWidth="1"/>
    <col min="26" max="26" width="12.33203125" style="7" customWidth="1"/>
    <col min="27" max="27" width="14.5" style="7" bestFit="1" customWidth="1"/>
    <col min="28" max="36" width="14.5" style="7" customWidth="1"/>
    <col min="37" max="37" width="13.83203125" style="21"/>
    <col min="38" max="38" width="10.1640625" style="21" customWidth="1"/>
    <col min="39" max="16384" width="13.83203125" style="21"/>
  </cols>
  <sheetData>
    <row r="2" spans="2:37" ht="24" x14ac:dyDescent="0.3">
      <c r="C2" s="11"/>
      <c r="D2" s="11"/>
      <c r="E2" s="7"/>
      <c r="F2" s="7"/>
      <c r="H2" s="129" t="s">
        <v>50</v>
      </c>
      <c r="I2" s="129"/>
      <c r="J2" s="129"/>
      <c r="K2" s="129"/>
      <c r="L2" s="129"/>
      <c r="M2" s="129"/>
      <c r="N2" s="129"/>
      <c r="O2" s="129"/>
      <c r="P2" s="129"/>
      <c r="Q2" s="129"/>
      <c r="R2" s="129"/>
      <c r="S2" s="129"/>
      <c r="T2" s="129"/>
      <c r="U2" s="129"/>
      <c r="V2" s="129"/>
      <c r="W2" s="129"/>
      <c r="X2" s="129"/>
      <c r="Y2" s="130"/>
      <c r="Z2" s="130"/>
      <c r="AA2" s="130"/>
      <c r="AB2" s="130"/>
      <c r="AC2" s="130"/>
      <c r="AD2" s="130"/>
      <c r="AE2" s="130"/>
      <c r="AF2" s="130"/>
      <c r="AG2" s="130"/>
      <c r="AH2" s="130"/>
      <c r="AI2" s="130"/>
      <c r="AJ2" s="130"/>
    </row>
    <row r="3" spans="2:37" ht="21" x14ac:dyDescent="0.25">
      <c r="C3" s="131" t="s">
        <v>53</v>
      </c>
      <c r="D3" s="133" t="s">
        <v>48</v>
      </c>
      <c r="E3" s="135" t="s">
        <v>2</v>
      </c>
      <c r="F3" s="135" t="s">
        <v>3</v>
      </c>
      <c r="G3" s="137" t="s">
        <v>4</v>
      </c>
      <c r="H3" s="139" t="s">
        <v>60</v>
      </c>
      <c r="I3" s="140"/>
      <c r="J3" s="140"/>
      <c r="K3" s="140"/>
      <c r="L3" s="141"/>
      <c r="M3" s="139" t="s">
        <v>1</v>
      </c>
      <c r="N3" s="140"/>
      <c r="O3" s="140"/>
      <c r="P3" s="140"/>
      <c r="Q3" s="140"/>
      <c r="R3" s="140"/>
      <c r="S3" s="140"/>
      <c r="T3" s="141"/>
      <c r="U3" s="139" t="s">
        <v>85</v>
      </c>
      <c r="V3" s="140"/>
      <c r="W3" s="140"/>
      <c r="X3" s="141"/>
      <c r="Y3" s="44" t="s">
        <v>0</v>
      </c>
      <c r="Z3" s="44" t="s">
        <v>83</v>
      </c>
      <c r="AA3" s="44" t="s">
        <v>86</v>
      </c>
      <c r="AB3" s="127"/>
      <c r="AC3" s="127"/>
      <c r="AD3" s="127"/>
      <c r="AE3" s="127"/>
      <c r="AF3" s="127"/>
      <c r="AG3" s="127"/>
      <c r="AH3" s="127"/>
      <c r="AI3" s="127"/>
      <c r="AJ3" s="127"/>
    </row>
    <row r="4" spans="2:37" ht="64" x14ac:dyDescent="0.2">
      <c r="C4" s="132"/>
      <c r="D4" s="134"/>
      <c r="E4" s="136"/>
      <c r="F4" s="136"/>
      <c r="G4" s="138"/>
      <c r="H4" s="67" t="s">
        <v>99</v>
      </c>
      <c r="I4" s="43" t="s">
        <v>52</v>
      </c>
      <c r="J4" s="43" t="s">
        <v>61</v>
      </c>
      <c r="K4" s="43" t="s">
        <v>62</v>
      </c>
      <c r="L4" s="43" t="s">
        <v>63</v>
      </c>
      <c r="M4" s="67" t="s">
        <v>11</v>
      </c>
      <c r="N4" s="67" t="s">
        <v>12</v>
      </c>
      <c r="O4" s="67" t="s">
        <v>13</v>
      </c>
      <c r="P4" s="67" t="s">
        <v>14</v>
      </c>
      <c r="Q4" s="67" t="s">
        <v>15</v>
      </c>
      <c r="R4" s="67" t="s">
        <v>16</v>
      </c>
      <c r="S4" s="43" t="s">
        <v>17</v>
      </c>
      <c r="T4" s="43" t="s">
        <v>18</v>
      </c>
      <c r="U4" s="43" t="s">
        <v>19</v>
      </c>
      <c r="V4" s="43" t="s">
        <v>100</v>
      </c>
      <c r="W4" s="43" t="s">
        <v>20</v>
      </c>
      <c r="X4" s="43" t="s">
        <v>21</v>
      </c>
      <c r="Y4" s="43" t="s">
        <v>10</v>
      </c>
      <c r="Z4" s="43" t="s">
        <v>27</v>
      </c>
      <c r="AA4" s="43" t="s">
        <v>5</v>
      </c>
      <c r="AB4" s="43" t="s">
        <v>6</v>
      </c>
      <c r="AC4" s="43" t="s">
        <v>7</v>
      </c>
      <c r="AD4" s="43" t="s">
        <v>8</v>
      </c>
      <c r="AE4" s="43" t="s">
        <v>25</v>
      </c>
      <c r="AF4" s="43" t="s">
        <v>9</v>
      </c>
      <c r="AG4" s="43" t="s">
        <v>22</v>
      </c>
      <c r="AH4" s="43" t="s">
        <v>23</v>
      </c>
      <c r="AI4" s="43" t="s">
        <v>24</v>
      </c>
      <c r="AJ4" s="43" t="s">
        <v>26</v>
      </c>
      <c r="AK4" s="101" t="s">
        <v>96</v>
      </c>
    </row>
    <row r="5" spans="2:37" x14ac:dyDescent="0.2">
      <c r="B5" s="128" t="s">
        <v>64</v>
      </c>
      <c r="C5" s="51" t="s">
        <v>82</v>
      </c>
      <c r="D5" s="77">
        <v>1</v>
      </c>
      <c r="E5" s="78" t="s">
        <v>102</v>
      </c>
      <c r="F5" s="70" t="s">
        <v>30</v>
      </c>
      <c r="G5" s="55"/>
      <c r="H5" s="55"/>
      <c r="I5" s="55"/>
      <c r="J5" s="55"/>
      <c r="K5" s="86"/>
      <c r="L5" s="55"/>
      <c r="M5" s="55"/>
      <c r="N5" s="55"/>
      <c r="O5" s="55"/>
      <c r="P5" s="55"/>
      <c r="Q5" s="55"/>
      <c r="R5" s="55"/>
      <c r="S5" s="89"/>
      <c r="T5" s="55"/>
      <c r="U5" s="55"/>
      <c r="V5" s="55"/>
      <c r="W5" s="55"/>
      <c r="X5" s="55"/>
      <c r="Y5" s="86">
        <v>0</v>
      </c>
      <c r="Z5" s="55"/>
      <c r="AA5" s="86">
        <v>0</v>
      </c>
      <c r="AB5" s="55"/>
      <c r="AC5" s="55"/>
      <c r="AD5" s="55"/>
      <c r="AE5" s="86">
        <v>0</v>
      </c>
      <c r="AF5" s="55"/>
      <c r="AG5" s="55"/>
      <c r="AH5" s="55"/>
      <c r="AI5" s="86">
        <v>0</v>
      </c>
      <c r="AJ5" s="41">
        <v>0</v>
      </c>
      <c r="AK5" s="100">
        <f t="shared" ref="AK5:AK20" si="0">SUM(S5:AJ5)+SUM(I5:L5)</f>
        <v>0</v>
      </c>
    </row>
    <row r="6" spans="2:37" x14ac:dyDescent="0.2">
      <c r="B6" s="128"/>
      <c r="C6" s="34" t="s">
        <v>68</v>
      </c>
      <c r="D6" s="72">
        <v>2</v>
      </c>
      <c r="E6" s="73" t="s">
        <v>103</v>
      </c>
      <c r="F6" s="74" t="s">
        <v>29</v>
      </c>
      <c r="G6" s="33"/>
      <c r="H6" s="17"/>
      <c r="I6" s="17">
        <f>I5*G6</f>
        <v>0</v>
      </c>
      <c r="J6" s="17"/>
      <c r="K6" s="90">
        <v>0</v>
      </c>
      <c r="L6" s="17"/>
      <c r="M6" s="33"/>
      <c r="N6" s="33"/>
      <c r="O6" s="24"/>
      <c r="P6" s="24"/>
      <c r="Q6" s="24"/>
      <c r="R6" s="17">
        <f>O6*0.045</f>
        <v>0</v>
      </c>
      <c r="S6" s="20"/>
      <c r="T6" s="90">
        <f t="shared" ref="T6:T20" si="1">SUM(O6:R6)*M6*N6</f>
        <v>0</v>
      </c>
      <c r="U6" s="17"/>
      <c r="V6" s="24">
        <v>0</v>
      </c>
      <c r="W6" s="17"/>
      <c r="X6" s="17"/>
      <c r="Y6" s="90"/>
      <c r="Z6" s="17"/>
      <c r="AA6" s="90">
        <v>0</v>
      </c>
      <c r="AB6" s="10"/>
      <c r="AC6" s="10"/>
      <c r="AD6" s="10"/>
      <c r="AE6" s="10"/>
      <c r="AF6" s="10"/>
      <c r="AG6" s="17"/>
      <c r="AH6" s="17"/>
      <c r="AI6" s="17"/>
      <c r="AJ6" s="17"/>
      <c r="AK6" s="100">
        <f t="shared" si="0"/>
        <v>0</v>
      </c>
    </row>
    <row r="7" spans="2:37" x14ac:dyDescent="0.2">
      <c r="B7" s="128"/>
      <c r="C7" s="15" t="s">
        <v>69</v>
      </c>
      <c r="D7" s="75">
        <v>3</v>
      </c>
      <c r="E7" s="73" t="s">
        <v>104</v>
      </c>
      <c r="F7" s="74" t="s">
        <v>29</v>
      </c>
      <c r="G7" s="33"/>
      <c r="H7" s="17"/>
      <c r="I7" s="17">
        <f>I6*G7</f>
        <v>0</v>
      </c>
      <c r="J7" s="17"/>
      <c r="K7" s="90">
        <v>0</v>
      </c>
      <c r="L7" s="17"/>
      <c r="M7" s="33"/>
      <c r="N7" s="33"/>
      <c r="O7" s="24"/>
      <c r="P7" s="24"/>
      <c r="Q7" s="24"/>
      <c r="R7" s="17">
        <f>O7*0.045</f>
        <v>0</v>
      </c>
      <c r="S7" s="20"/>
      <c r="T7" s="90">
        <f t="shared" si="1"/>
        <v>0</v>
      </c>
      <c r="U7" s="17"/>
      <c r="V7" s="24">
        <v>0</v>
      </c>
      <c r="W7" s="17"/>
      <c r="X7" s="17"/>
      <c r="Y7" s="90"/>
      <c r="Z7" s="17"/>
      <c r="AA7" s="90">
        <v>0</v>
      </c>
      <c r="AB7" s="10"/>
      <c r="AC7" s="10"/>
      <c r="AD7" s="10"/>
      <c r="AE7" s="10"/>
      <c r="AF7" s="10"/>
      <c r="AG7" s="17"/>
      <c r="AH7" s="17"/>
      <c r="AI7" s="17"/>
      <c r="AJ7" s="17"/>
      <c r="AK7" s="100">
        <f t="shared" si="0"/>
        <v>0</v>
      </c>
    </row>
    <row r="8" spans="2:37" x14ac:dyDescent="0.2">
      <c r="B8" s="128"/>
      <c r="C8" s="55" t="s">
        <v>94</v>
      </c>
      <c r="D8" s="77">
        <v>4</v>
      </c>
      <c r="E8" s="79" t="s">
        <v>105</v>
      </c>
      <c r="F8" s="80" t="s">
        <v>30</v>
      </c>
      <c r="G8" s="55"/>
      <c r="H8" s="57"/>
      <c r="I8" s="57"/>
      <c r="J8" s="57"/>
      <c r="K8" s="86"/>
      <c r="L8" s="57"/>
      <c r="M8" s="55"/>
      <c r="N8" s="55"/>
      <c r="O8" s="57"/>
      <c r="P8" s="57"/>
      <c r="Q8" s="57"/>
      <c r="R8" s="57"/>
      <c r="S8" s="82"/>
      <c r="T8" s="57">
        <f t="shared" si="1"/>
        <v>0</v>
      </c>
      <c r="U8" s="57"/>
      <c r="V8" s="57"/>
      <c r="W8" s="57"/>
      <c r="X8" s="57"/>
      <c r="Y8" s="86"/>
      <c r="Z8" s="57"/>
      <c r="AA8" s="86">
        <v>5400</v>
      </c>
      <c r="AB8" s="58"/>
      <c r="AC8" s="58"/>
      <c r="AD8" s="58"/>
      <c r="AE8" s="86">
        <v>0</v>
      </c>
      <c r="AF8" s="58"/>
      <c r="AG8" s="57"/>
      <c r="AH8" s="57"/>
      <c r="AI8" s="86">
        <v>0</v>
      </c>
      <c r="AJ8" s="41">
        <v>0</v>
      </c>
      <c r="AK8" s="100">
        <f t="shared" si="0"/>
        <v>5400</v>
      </c>
    </row>
    <row r="9" spans="2:37" x14ac:dyDescent="0.2">
      <c r="B9" s="128" t="s">
        <v>65</v>
      </c>
      <c r="C9" s="51" t="s">
        <v>81</v>
      </c>
      <c r="D9" s="77">
        <v>5</v>
      </c>
      <c r="E9" s="79" t="s">
        <v>107</v>
      </c>
      <c r="F9" s="80" t="s">
        <v>30</v>
      </c>
      <c r="G9" s="55"/>
      <c r="H9" s="57"/>
      <c r="I9" s="57"/>
      <c r="J9" s="57"/>
      <c r="K9" s="86"/>
      <c r="L9" s="57"/>
      <c r="M9" s="55"/>
      <c r="N9" s="55"/>
      <c r="O9" s="57"/>
      <c r="P9" s="57"/>
      <c r="Q9" s="57"/>
      <c r="R9" s="57"/>
      <c r="S9" s="82"/>
      <c r="T9" s="57">
        <f t="shared" si="1"/>
        <v>0</v>
      </c>
      <c r="U9" s="57"/>
      <c r="V9" s="57"/>
      <c r="W9" s="57"/>
      <c r="X9" s="57"/>
      <c r="Y9" s="86"/>
      <c r="Z9" s="57"/>
      <c r="AA9" s="86">
        <v>0</v>
      </c>
      <c r="AB9" s="58"/>
      <c r="AC9" s="58"/>
      <c r="AD9" s="58"/>
      <c r="AE9" s="86">
        <v>0</v>
      </c>
      <c r="AF9" s="58"/>
      <c r="AG9" s="57"/>
      <c r="AH9" s="57"/>
      <c r="AI9" s="86">
        <v>0</v>
      </c>
      <c r="AJ9" s="41">
        <v>0</v>
      </c>
      <c r="AK9" s="100">
        <f t="shared" si="0"/>
        <v>0</v>
      </c>
    </row>
    <row r="10" spans="2:37" x14ac:dyDescent="0.2">
      <c r="B10" s="128"/>
      <c r="C10" s="15" t="s">
        <v>70</v>
      </c>
      <c r="D10" s="75">
        <v>6</v>
      </c>
      <c r="E10" s="73" t="s">
        <v>37</v>
      </c>
      <c r="F10" s="74" t="s">
        <v>29</v>
      </c>
      <c r="G10" s="8">
        <v>23</v>
      </c>
      <c r="H10" s="5">
        <v>245</v>
      </c>
      <c r="I10" s="17">
        <f>H10*G10</f>
        <v>5635</v>
      </c>
      <c r="J10" s="17"/>
      <c r="K10" s="91">
        <v>0</v>
      </c>
      <c r="L10" s="17"/>
      <c r="M10" s="8"/>
      <c r="N10" s="8"/>
      <c r="O10" s="17"/>
      <c r="P10" s="17"/>
      <c r="Q10" s="17"/>
      <c r="R10" s="17">
        <f>O10*0.03</f>
        <v>0</v>
      </c>
      <c r="S10" s="20"/>
      <c r="T10" s="91">
        <f t="shared" si="1"/>
        <v>0</v>
      </c>
      <c r="U10" s="17">
        <v>24000</v>
      </c>
      <c r="V10" s="17"/>
      <c r="W10" s="17"/>
      <c r="X10" s="17"/>
      <c r="Y10" s="91"/>
      <c r="Z10" s="17"/>
      <c r="AA10" s="90">
        <v>0</v>
      </c>
      <c r="AB10" s="10"/>
      <c r="AC10" s="10"/>
      <c r="AD10" s="10"/>
      <c r="AE10" s="10"/>
      <c r="AF10" s="10"/>
      <c r="AG10" s="17"/>
      <c r="AH10" s="17"/>
      <c r="AI10" s="17"/>
      <c r="AJ10" s="17"/>
      <c r="AK10" s="100">
        <f t="shared" si="0"/>
        <v>29635</v>
      </c>
    </row>
    <row r="11" spans="2:37" x14ac:dyDescent="0.2">
      <c r="B11" s="128"/>
      <c r="C11" s="15" t="s">
        <v>71</v>
      </c>
      <c r="D11" s="75">
        <v>7</v>
      </c>
      <c r="E11" s="73" t="s">
        <v>38</v>
      </c>
      <c r="F11" s="74" t="s">
        <v>29</v>
      </c>
      <c r="G11" s="8">
        <v>23</v>
      </c>
      <c r="H11" s="5">
        <v>245</v>
      </c>
      <c r="I11" s="17">
        <f>H11*G11</f>
        <v>5635</v>
      </c>
      <c r="J11" s="17"/>
      <c r="K11" s="91">
        <v>0</v>
      </c>
      <c r="L11" s="17"/>
      <c r="M11" s="8"/>
      <c r="N11" s="8"/>
      <c r="O11" s="17"/>
      <c r="P11" s="17"/>
      <c r="Q11" s="17"/>
      <c r="R11" s="17">
        <f>O11*0.03</f>
        <v>0</v>
      </c>
      <c r="S11" s="20"/>
      <c r="T11" s="91">
        <f t="shared" si="1"/>
        <v>0</v>
      </c>
      <c r="U11" s="17">
        <v>22000</v>
      </c>
      <c r="V11" s="5"/>
      <c r="W11" s="17"/>
      <c r="X11" s="17"/>
      <c r="Y11" s="91"/>
      <c r="Z11" s="17"/>
      <c r="AA11" s="90">
        <v>0</v>
      </c>
      <c r="AB11" s="10"/>
      <c r="AC11" s="10"/>
      <c r="AD11" s="10"/>
      <c r="AE11" s="10"/>
      <c r="AF11" s="10"/>
      <c r="AG11" s="17"/>
      <c r="AH11" s="17"/>
      <c r="AI11" s="17"/>
      <c r="AJ11" s="17"/>
      <c r="AK11" s="100">
        <f t="shared" si="0"/>
        <v>27635</v>
      </c>
    </row>
    <row r="12" spans="2:37" x14ac:dyDescent="0.2">
      <c r="B12" s="128"/>
      <c r="C12" s="51" t="s">
        <v>72</v>
      </c>
      <c r="D12" s="77">
        <v>8</v>
      </c>
      <c r="E12" s="79" t="s">
        <v>40</v>
      </c>
      <c r="F12" s="80" t="s">
        <v>30</v>
      </c>
      <c r="G12" s="55"/>
      <c r="H12" s="57"/>
      <c r="I12" s="57"/>
      <c r="J12" s="57"/>
      <c r="K12" s="86"/>
      <c r="L12" s="57"/>
      <c r="M12" s="55"/>
      <c r="N12" s="55"/>
      <c r="O12" s="57"/>
      <c r="P12" s="57"/>
      <c r="Q12" s="57"/>
      <c r="R12" s="57"/>
      <c r="S12" s="82"/>
      <c r="T12" s="57">
        <f t="shared" si="1"/>
        <v>0</v>
      </c>
      <c r="U12" s="57"/>
      <c r="V12" s="57"/>
      <c r="W12" s="57"/>
      <c r="X12" s="57"/>
      <c r="Y12" s="86"/>
      <c r="Z12" s="57"/>
      <c r="AA12" s="86">
        <v>0</v>
      </c>
      <c r="AB12" s="58"/>
      <c r="AC12" s="58"/>
      <c r="AD12" s="58"/>
      <c r="AE12" s="86">
        <v>0</v>
      </c>
      <c r="AF12" s="58"/>
      <c r="AG12" s="57"/>
      <c r="AH12" s="57"/>
      <c r="AI12" s="86">
        <v>0</v>
      </c>
      <c r="AJ12" s="41">
        <v>0</v>
      </c>
      <c r="AK12" s="100">
        <f t="shared" si="0"/>
        <v>0</v>
      </c>
    </row>
    <row r="13" spans="2:37" x14ac:dyDescent="0.2">
      <c r="B13" s="128" t="s">
        <v>66</v>
      </c>
      <c r="C13" s="15" t="s">
        <v>73</v>
      </c>
      <c r="D13" s="75">
        <v>9</v>
      </c>
      <c r="E13" s="73" t="s">
        <v>102</v>
      </c>
      <c r="F13" s="74" t="s">
        <v>29</v>
      </c>
      <c r="G13" s="33"/>
      <c r="H13" s="21"/>
      <c r="I13" s="17"/>
      <c r="J13" s="17"/>
      <c r="K13" s="90">
        <v>0</v>
      </c>
      <c r="L13" s="17"/>
      <c r="M13" s="33"/>
      <c r="N13" s="33"/>
      <c r="O13" s="24"/>
      <c r="P13" s="24"/>
      <c r="Q13" s="24"/>
      <c r="R13" s="17">
        <f>O13*0.045</f>
        <v>0</v>
      </c>
      <c r="S13" s="20"/>
      <c r="T13" s="90">
        <f t="shared" si="1"/>
        <v>0</v>
      </c>
      <c r="U13" s="17"/>
      <c r="V13" s="24"/>
      <c r="W13" s="17"/>
      <c r="X13" s="17"/>
      <c r="Y13" s="90"/>
      <c r="Z13" s="17"/>
      <c r="AA13" s="90">
        <v>0</v>
      </c>
      <c r="AB13" s="10"/>
      <c r="AC13" s="10"/>
      <c r="AD13" s="10"/>
      <c r="AE13" s="10"/>
      <c r="AF13" s="10"/>
      <c r="AG13" s="17"/>
      <c r="AH13" s="17"/>
      <c r="AI13" s="17"/>
      <c r="AJ13" s="17"/>
      <c r="AK13" s="100">
        <f t="shared" si="0"/>
        <v>0</v>
      </c>
    </row>
    <row r="14" spans="2:37" x14ac:dyDescent="0.2">
      <c r="B14" s="128"/>
      <c r="C14" s="51" t="s">
        <v>74</v>
      </c>
      <c r="D14" s="77">
        <v>10</v>
      </c>
      <c r="E14" s="79" t="s">
        <v>103</v>
      </c>
      <c r="F14" s="81" t="s">
        <v>30</v>
      </c>
      <c r="G14" s="55"/>
      <c r="H14" s="57"/>
      <c r="I14" s="57"/>
      <c r="J14" s="57"/>
      <c r="K14" s="86"/>
      <c r="L14" s="57"/>
      <c r="M14" s="55"/>
      <c r="N14" s="55"/>
      <c r="O14" s="57"/>
      <c r="P14" s="57"/>
      <c r="Q14" s="57"/>
      <c r="R14" s="57"/>
      <c r="S14" s="82"/>
      <c r="T14" s="57">
        <f t="shared" si="1"/>
        <v>0</v>
      </c>
      <c r="U14" s="57"/>
      <c r="V14" s="57"/>
      <c r="W14" s="57"/>
      <c r="X14" s="57"/>
      <c r="Y14" s="86"/>
      <c r="Z14" s="57"/>
      <c r="AA14" s="86">
        <v>0</v>
      </c>
      <c r="AB14" s="58"/>
      <c r="AC14" s="58"/>
      <c r="AD14" s="58"/>
      <c r="AE14" s="86">
        <v>0</v>
      </c>
      <c r="AF14" s="58"/>
      <c r="AG14" s="57"/>
      <c r="AH14" s="57"/>
      <c r="AI14" s="86">
        <v>0</v>
      </c>
      <c r="AJ14" s="41">
        <v>0</v>
      </c>
      <c r="AK14" s="100">
        <f t="shared" si="0"/>
        <v>0</v>
      </c>
    </row>
    <row r="15" spans="2:37" x14ac:dyDescent="0.2">
      <c r="B15" s="128"/>
      <c r="C15" s="51" t="s">
        <v>75</v>
      </c>
      <c r="D15" s="77">
        <v>11</v>
      </c>
      <c r="E15" s="79" t="s">
        <v>104</v>
      </c>
      <c r="F15" s="81" t="s">
        <v>30</v>
      </c>
      <c r="G15" s="55"/>
      <c r="H15" s="57"/>
      <c r="I15" s="57"/>
      <c r="J15" s="57"/>
      <c r="K15" s="86"/>
      <c r="L15" s="57"/>
      <c r="M15" s="55"/>
      <c r="N15" s="55"/>
      <c r="O15" s="57"/>
      <c r="P15" s="57"/>
      <c r="Q15" s="57"/>
      <c r="R15" s="57"/>
      <c r="S15" s="82"/>
      <c r="T15" s="57">
        <f t="shared" si="1"/>
        <v>0</v>
      </c>
      <c r="U15" s="57"/>
      <c r="V15" s="57"/>
      <c r="W15" s="57"/>
      <c r="X15" s="57"/>
      <c r="Y15" s="86"/>
      <c r="Z15" s="57"/>
      <c r="AA15" s="86">
        <v>5400</v>
      </c>
      <c r="AB15" s="58"/>
      <c r="AC15" s="58"/>
      <c r="AD15" s="58"/>
      <c r="AE15" s="86">
        <v>0</v>
      </c>
      <c r="AF15" s="58"/>
      <c r="AG15" s="57"/>
      <c r="AH15" s="57"/>
      <c r="AI15" s="86">
        <v>0</v>
      </c>
      <c r="AJ15" s="41">
        <v>0</v>
      </c>
      <c r="AK15" s="100">
        <f t="shared" si="0"/>
        <v>5400</v>
      </c>
    </row>
    <row r="16" spans="2:37" x14ac:dyDescent="0.2">
      <c r="B16" s="128"/>
      <c r="C16" s="15" t="s">
        <v>80</v>
      </c>
      <c r="D16" s="75">
        <v>12</v>
      </c>
      <c r="E16" s="73" t="s">
        <v>105</v>
      </c>
      <c r="F16" s="74" t="s">
        <v>29</v>
      </c>
      <c r="G16" s="33"/>
      <c r="H16" s="21"/>
      <c r="I16" s="17">
        <f>I15*G16</f>
        <v>0</v>
      </c>
      <c r="J16" s="17"/>
      <c r="K16" s="90">
        <v>0</v>
      </c>
      <c r="L16" s="17"/>
      <c r="M16" s="33"/>
      <c r="N16" s="33"/>
      <c r="O16" s="24"/>
      <c r="P16" s="24"/>
      <c r="Q16" s="24"/>
      <c r="R16" s="17">
        <f>O16*0.045</f>
        <v>0</v>
      </c>
      <c r="S16" s="20"/>
      <c r="T16" s="90">
        <f t="shared" si="1"/>
        <v>0</v>
      </c>
      <c r="U16" s="17"/>
      <c r="V16" s="24"/>
      <c r="W16" s="17"/>
      <c r="X16" s="17"/>
      <c r="Y16" s="90"/>
      <c r="Z16" s="17"/>
      <c r="AA16" s="90">
        <v>0</v>
      </c>
      <c r="AB16" s="10"/>
      <c r="AC16" s="10"/>
      <c r="AD16" s="10"/>
      <c r="AE16" s="10"/>
      <c r="AF16" s="10"/>
      <c r="AG16" s="17"/>
      <c r="AH16" s="17"/>
      <c r="AI16" s="17"/>
      <c r="AJ16" s="17"/>
      <c r="AK16" s="100">
        <f t="shared" si="0"/>
        <v>0</v>
      </c>
    </row>
    <row r="17" spans="2:37" x14ac:dyDescent="0.2">
      <c r="B17" s="128" t="s">
        <v>67</v>
      </c>
      <c r="C17" s="15" t="s">
        <v>76</v>
      </c>
      <c r="D17" s="75">
        <v>13</v>
      </c>
      <c r="E17" s="73" t="s">
        <v>107</v>
      </c>
      <c r="F17" s="76" t="s">
        <v>29</v>
      </c>
      <c r="G17" s="8">
        <v>23</v>
      </c>
      <c r="H17" s="5">
        <v>245</v>
      </c>
      <c r="I17" s="17">
        <f>H17*G17</f>
        <v>5635</v>
      </c>
      <c r="J17" s="17"/>
      <c r="K17" s="90">
        <v>0</v>
      </c>
      <c r="L17" s="17"/>
      <c r="M17" s="8"/>
      <c r="N17" s="8"/>
      <c r="O17" s="8"/>
      <c r="P17" s="8"/>
      <c r="Q17" s="8"/>
      <c r="R17" s="17">
        <f>O17*0.03</f>
        <v>0</v>
      </c>
      <c r="S17" s="20"/>
      <c r="T17" s="91">
        <f t="shared" si="1"/>
        <v>0</v>
      </c>
      <c r="U17" s="91">
        <v>16000</v>
      </c>
      <c r="V17" s="24"/>
      <c r="W17" s="17"/>
      <c r="X17" s="17"/>
      <c r="Y17" s="91"/>
      <c r="Z17" s="17"/>
      <c r="AA17" s="90">
        <v>0</v>
      </c>
      <c r="AB17" s="10"/>
      <c r="AC17" s="10"/>
      <c r="AD17" s="10"/>
      <c r="AE17" s="10"/>
      <c r="AF17" s="10"/>
      <c r="AG17" s="17"/>
      <c r="AH17" s="17"/>
      <c r="AI17" s="17"/>
      <c r="AJ17" s="17"/>
      <c r="AK17" s="100">
        <f t="shared" si="0"/>
        <v>21635</v>
      </c>
    </row>
    <row r="18" spans="2:37" x14ac:dyDescent="0.2">
      <c r="B18" s="128"/>
      <c r="C18" s="51" t="s">
        <v>77</v>
      </c>
      <c r="D18" s="77">
        <v>14</v>
      </c>
      <c r="E18" s="79" t="s">
        <v>37</v>
      </c>
      <c r="F18" s="81" t="s">
        <v>30</v>
      </c>
      <c r="G18" s="82"/>
      <c r="H18" s="82"/>
      <c r="I18" s="82"/>
      <c r="J18" s="57"/>
      <c r="K18" s="93"/>
      <c r="L18" s="57"/>
      <c r="M18" s="54"/>
      <c r="N18" s="54"/>
      <c r="O18" s="54"/>
      <c r="P18" s="83"/>
      <c r="Q18" s="83"/>
      <c r="R18" s="83"/>
      <c r="S18" s="82"/>
      <c r="T18" s="83">
        <f t="shared" si="1"/>
        <v>0</v>
      </c>
      <c r="U18" s="57"/>
      <c r="V18" s="54"/>
      <c r="W18" s="57"/>
      <c r="X18" s="57"/>
      <c r="Y18" s="94"/>
      <c r="Z18" s="57"/>
      <c r="AA18" s="86">
        <v>0</v>
      </c>
      <c r="AB18" s="58"/>
      <c r="AC18" s="58"/>
      <c r="AD18" s="58"/>
      <c r="AE18" s="86">
        <v>0</v>
      </c>
      <c r="AF18" s="58"/>
      <c r="AG18" s="57"/>
      <c r="AH18" s="57"/>
      <c r="AI18" s="86">
        <v>0</v>
      </c>
      <c r="AJ18" s="41">
        <v>0</v>
      </c>
      <c r="AK18" s="100">
        <f t="shared" si="0"/>
        <v>0</v>
      </c>
    </row>
    <row r="19" spans="2:37" x14ac:dyDescent="0.2">
      <c r="B19" s="128"/>
      <c r="C19" s="51" t="s">
        <v>78</v>
      </c>
      <c r="D19" s="77">
        <v>15</v>
      </c>
      <c r="E19" s="79" t="s">
        <v>38</v>
      </c>
      <c r="F19" s="81" t="s">
        <v>30</v>
      </c>
      <c r="G19" s="82"/>
      <c r="H19" s="82"/>
      <c r="I19" s="82"/>
      <c r="J19" s="57"/>
      <c r="K19" s="93"/>
      <c r="L19" s="57"/>
      <c r="M19" s="54"/>
      <c r="N19" s="54"/>
      <c r="O19" s="54"/>
      <c r="P19" s="83"/>
      <c r="Q19" s="83"/>
      <c r="R19" s="83"/>
      <c r="S19" s="82"/>
      <c r="T19" s="83">
        <f t="shared" si="1"/>
        <v>0</v>
      </c>
      <c r="U19" s="57"/>
      <c r="V19" s="54"/>
      <c r="W19" s="57"/>
      <c r="X19" s="57"/>
      <c r="Y19" s="94"/>
      <c r="Z19" s="57"/>
      <c r="AA19" s="86">
        <v>0</v>
      </c>
      <c r="AB19" s="58"/>
      <c r="AC19" s="58"/>
      <c r="AD19" s="58"/>
      <c r="AE19" s="86">
        <v>0</v>
      </c>
      <c r="AF19" s="58"/>
      <c r="AG19" s="57"/>
      <c r="AH19" s="57"/>
      <c r="AI19" s="86">
        <v>0</v>
      </c>
      <c r="AJ19" s="41">
        <v>0</v>
      </c>
      <c r="AK19" s="100">
        <f t="shared" si="0"/>
        <v>0</v>
      </c>
    </row>
    <row r="20" spans="2:37" x14ac:dyDescent="0.2">
      <c r="B20" s="128"/>
      <c r="C20" s="15" t="s">
        <v>79</v>
      </c>
      <c r="D20" s="75">
        <v>16</v>
      </c>
      <c r="E20" s="73" t="s">
        <v>40</v>
      </c>
      <c r="F20" s="76" t="s">
        <v>29</v>
      </c>
      <c r="G20" s="33"/>
      <c r="H20" s="23"/>
      <c r="I20" s="17">
        <f>I19*G20</f>
        <v>0</v>
      </c>
      <c r="J20" s="17"/>
      <c r="K20" s="90">
        <v>0</v>
      </c>
      <c r="L20" s="17"/>
      <c r="M20" s="33"/>
      <c r="N20" s="33"/>
      <c r="O20" s="24"/>
      <c r="P20" s="24"/>
      <c r="Q20" s="24"/>
      <c r="R20" s="17">
        <f>O20*0.045</f>
        <v>0</v>
      </c>
      <c r="S20" s="20"/>
      <c r="T20" s="90">
        <f t="shared" si="1"/>
        <v>0</v>
      </c>
      <c r="U20" s="17"/>
      <c r="V20" s="24">
        <v>0</v>
      </c>
      <c r="W20" s="17"/>
      <c r="X20" s="17"/>
      <c r="Y20" s="90"/>
      <c r="Z20" s="17"/>
      <c r="AA20" s="90">
        <v>0</v>
      </c>
      <c r="AB20" s="10"/>
      <c r="AC20" s="10"/>
      <c r="AD20" s="10"/>
      <c r="AE20" s="10"/>
      <c r="AF20" s="10"/>
      <c r="AG20" s="17"/>
      <c r="AH20" s="17"/>
      <c r="AI20" s="17"/>
      <c r="AJ20" s="17"/>
      <c r="AK20" s="100">
        <f t="shared" si="0"/>
        <v>0</v>
      </c>
    </row>
    <row r="21" spans="2:37" x14ac:dyDescent="0.2">
      <c r="B21" s="35"/>
      <c r="C21" s="12"/>
      <c r="D21" s="37"/>
      <c r="E21" s="38"/>
      <c r="F21" s="39"/>
      <c r="G21" s="59" t="s">
        <v>95</v>
      </c>
      <c r="H21" s="60"/>
      <c r="I21" s="60">
        <f>SUM(I4:I20)</f>
        <v>16905</v>
      </c>
      <c r="J21" s="60">
        <f>SUM(J4:J20)</f>
        <v>0</v>
      </c>
      <c r="K21" s="60">
        <f>SUM(K4:K20)</f>
        <v>0</v>
      </c>
      <c r="L21" s="60">
        <f>SUM(L4:L20)</f>
        <v>0</v>
      </c>
      <c r="M21" s="60"/>
      <c r="N21" s="60"/>
      <c r="O21" s="60"/>
      <c r="P21" s="60"/>
      <c r="Q21" s="60"/>
      <c r="R21" s="60"/>
      <c r="S21" s="60">
        <f t="shared" ref="S21:AJ21" si="2">SUM(S4:S20)</f>
        <v>0</v>
      </c>
      <c r="T21" s="60">
        <f t="shared" si="2"/>
        <v>0</v>
      </c>
      <c r="U21" s="60">
        <f t="shared" si="2"/>
        <v>62000</v>
      </c>
      <c r="V21" s="60">
        <f t="shared" si="2"/>
        <v>0</v>
      </c>
      <c r="W21" s="60">
        <f t="shared" si="2"/>
        <v>0</v>
      </c>
      <c r="X21" s="60">
        <f t="shared" si="2"/>
        <v>0</v>
      </c>
      <c r="Y21" s="60">
        <f t="shared" si="2"/>
        <v>0</v>
      </c>
      <c r="Z21" s="60">
        <f t="shared" si="2"/>
        <v>0</v>
      </c>
      <c r="AA21" s="60">
        <f t="shared" si="2"/>
        <v>10800</v>
      </c>
      <c r="AB21" s="60">
        <f t="shared" si="2"/>
        <v>0</v>
      </c>
      <c r="AC21" s="60">
        <f t="shared" si="2"/>
        <v>0</v>
      </c>
      <c r="AD21" s="60">
        <f t="shared" si="2"/>
        <v>0</v>
      </c>
      <c r="AE21" s="60">
        <f t="shared" si="2"/>
        <v>0</v>
      </c>
      <c r="AF21" s="60">
        <f t="shared" si="2"/>
        <v>0</v>
      </c>
      <c r="AG21" s="60">
        <f t="shared" si="2"/>
        <v>0</v>
      </c>
      <c r="AH21" s="60">
        <f t="shared" si="2"/>
        <v>0</v>
      </c>
      <c r="AI21" s="60">
        <f t="shared" si="2"/>
        <v>0</v>
      </c>
      <c r="AJ21" s="60">
        <f t="shared" si="2"/>
        <v>0</v>
      </c>
      <c r="AK21" s="99">
        <f>SUM(AK5:AK20)</f>
        <v>89705</v>
      </c>
    </row>
    <row r="22" spans="2:37" x14ac:dyDescent="0.2">
      <c r="E22" s="22"/>
      <c r="L22" s="18"/>
      <c r="N22" s="19"/>
      <c r="P22" s="19"/>
      <c r="Q22" s="19"/>
      <c r="R22" s="19"/>
      <c r="S22" s="19"/>
      <c r="T22" s="19"/>
      <c r="Y22" s="18"/>
    </row>
    <row r="23" spans="2:37" ht="17" thickBot="1" x14ac:dyDescent="0.25">
      <c r="E23" s="13"/>
      <c r="F23" s="45" t="s">
        <v>54</v>
      </c>
      <c r="G23" s="45" t="s">
        <v>55</v>
      </c>
      <c r="H23" s="45" t="s">
        <v>56</v>
      </c>
      <c r="I23" s="45" t="s">
        <v>57</v>
      </c>
      <c r="J23" s="45" t="s">
        <v>58</v>
      </c>
      <c r="K23" s="45" t="s">
        <v>59</v>
      </c>
      <c r="L23" s="18"/>
      <c r="N23" s="19"/>
      <c r="P23" s="19"/>
      <c r="Q23" s="19"/>
      <c r="R23" s="19"/>
      <c r="S23" s="19"/>
      <c r="T23" s="19"/>
      <c r="Y23" s="18"/>
    </row>
    <row r="24" spans="2:37" ht="15.5" customHeight="1" x14ac:dyDescent="0.2">
      <c r="D24" s="124" t="s">
        <v>44</v>
      </c>
      <c r="E24" s="25" t="s">
        <v>45</v>
      </c>
      <c r="F24" s="26"/>
      <c r="G24" s="26"/>
      <c r="H24" s="26"/>
      <c r="I24" s="26"/>
      <c r="J24" s="26"/>
      <c r="K24" s="27"/>
      <c r="L24" s="18"/>
      <c r="N24" s="19"/>
      <c r="P24" s="19"/>
      <c r="Q24" s="19"/>
      <c r="R24" s="19"/>
      <c r="S24" s="19"/>
      <c r="T24" s="19"/>
      <c r="Y24" s="18"/>
    </row>
    <row r="25" spans="2:37" x14ac:dyDescent="0.2">
      <c r="D25" s="124"/>
      <c r="E25" s="6" t="s">
        <v>46</v>
      </c>
      <c r="F25" s="17">
        <f>SUM(I5:I8)</f>
        <v>0</v>
      </c>
      <c r="G25" s="17">
        <f>SUM(I9:I12)</f>
        <v>11270</v>
      </c>
      <c r="H25" s="17">
        <f>SUM(I13:I16)</f>
        <v>0</v>
      </c>
      <c r="I25" s="17">
        <f>SUM(I17:I20)</f>
        <v>5635</v>
      </c>
      <c r="J25" s="17"/>
      <c r="K25" s="28"/>
      <c r="L25" s="18">
        <f>SUM(F25:K25)</f>
        <v>16905</v>
      </c>
      <c r="N25" s="19"/>
      <c r="P25" s="19"/>
      <c r="Q25" s="19"/>
      <c r="R25" s="19"/>
      <c r="S25" s="19"/>
      <c r="T25" s="19"/>
      <c r="Y25" s="18"/>
    </row>
    <row r="26" spans="2:37" x14ac:dyDescent="0.2">
      <c r="D26" s="124"/>
      <c r="E26" s="6" t="s">
        <v>47</v>
      </c>
      <c r="F26" s="17">
        <f>SUM(J5:L8)</f>
        <v>0</v>
      </c>
      <c r="G26" s="17">
        <f>SUM(J9:L12)</f>
        <v>0</v>
      </c>
      <c r="H26" s="17">
        <f>SUM(J13:L16)</f>
        <v>0</v>
      </c>
      <c r="I26" s="17">
        <f>SUM(J17:L20)</f>
        <v>0</v>
      </c>
      <c r="J26" s="17"/>
      <c r="K26" s="28"/>
      <c r="L26" s="18">
        <f>SUM(F26:K26)</f>
        <v>0</v>
      </c>
      <c r="N26" s="19"/>
      <c r="P26" s="19"/>
      <c r="Q26" s="19"/>
      <c r="R26" s="19"/>
      <c r="S26" s="19"/>
      <c r="T26" s="19"/>
      <c r="Y26" s="18"/>
    </row>
    <row r="27" spans="2:37" x14ac:dyDescent="0.2">
      <c r="D27" s="124"/>
      <c r="E27" s="4" t="s">
        <v>18</v>
      </c>
      <c r="F27" s="17"/>
      <c r="G27" s="17"/>
      <c r="H27" s="17"/>
      <c r="I27" s="17"/>
      <c r="J27" s="17"/>
      <c r="K27" s="28"/>
      <c r="L27" s="18"/>
      <c r="N27" s="19"/>
      <c r="P27" s="19"/>
      <c r="Q27" s="19"/>
      <c r="R27" s="19"/>
      <c r="S27" s="19"/>
      <c r="T27" s="19"/>
      <c r="Y27" s="18"/>
    </row>
    <row r="28" spans="2:37" x14ac:dyDescent="0.2">
      <c r="D28" s="124"/>
      <c r="E28" s="6" t="s">
        <v>52</v>
      </c>
      <c r="F28" s="17">
        <f>SUM(T5:T8)</f>
        <v>0</v>
      </c>
      <c r="G28" s="17">
        <f>SUM(T9:T12)</f>
        <v>0</v>
      </c>
      <c r="H28" s="17">
        <f>SUM(T13:T16)</f>
        <v>0</v>
      </c>
      <c r="I28" s="17">
        <f>SUM(T17:T20)</f>
        <v>0</v>
      </c>
      <c r="J28" s="17"/>
      <c r="K28" s="28"/>
      <c r="L28" s="18">
        <f t="shared" ref="L28:L46" si="3">SUM(F28:K28)</f>
        <v>0</v>
      </c>
      <c r="Y28" s="18"/>
      <c r="AA28" s="18"/>
      <c r="AB28" s="18"/>
      <c r="AC28" s="18"/>
      <c r="AD28" s="18"/>
      <c r="AE28" s="18"/>
      <c r="AF28" s="18"/>
    </row>
    <row r="29" spans="2:37" x14ac:dyDescent="0.2">
      <c r="D29" s="124"/>
      <c r="E29" s="6" t="s">
        <v>17</v>
      </c>
      <c r="F29" s="17"/>
      <c r="G29" s="17"/>
      <c r="H29" s="17"/>
      <c r="I29" s="17"/>
      <c r="J29" s="17"/>
      <c r="K29" s="28"/>
      <c r="L29" s="18">
        <f t="shared" si="3"/>
        <v>0</v>
      </c>
      <c r="Y29" s="18"/>
      <c r="AA29" s="18"/>
      <c r="AB29" s="18"/>
      <c r="AC29" s="18"/>
      <c r="AD29" s="18"/>
      <c r="AE29" s="18"/>
      <c r="AF29" s="18"/>
    </row>
    <row r="30" spans="2:37" x14ac:dyDescent="0.2">
      <c r="D30" s="124"/>
      <c r="E30" s="4" t="s">
        <v>97</v>
      </c>
      <c r="F30" s="17">
        <f>SUM(U5:U8)</f>
        <v>0</v>
      </c>
      <c r="G30" s="17">
        <f>SUM(U9:U12)</f>
        <v>46000</v>
      </c>
      <c r="H30" s="17">
        <f>SUM(U13:U16)</f>
        <v>0</v>
      </c>
      <c r="I30" s="17">
        <f>SUM(U17:U20)</f>
        <v>16000</v>
      </c>
      <c r="J30" s="17"/>
      <c r="K30" s="28"/>
      <c r="L30" s="18">
        <f t="shared" si="3"/>
        <v>62000</v>
      </c>
      <c r="N30" s="19"/>
      <c r="Y30" s="18"/>
      <c r="AA30" s="18"/>
      <c r="AB30" s="18"/>
      <c r="AC30" s="18"/>
      <c r="AD30" s="18"/>
      <c r="AE30" s="18"/>
      <c r="AF30" s="18"/>
    </row>
    <row r="31" spans="2:37" x14ac:dyDescent="0.2">
      <c r="D31" s="124"/>
      <c r="E31" s="47" t="s">
        <v>101</v>
      </c>
      <c r="F31" s="17">
        <f>SUM(V5:V8)</f>
        <v>0</v>
      </c>
      <c r="G31" s="17"/>
      <c r="H31" s="17">
        <f>SUM(V13:V16)</f>
        <v>0</v>
      </c>
      <c r="I31" s="17">
        <f>SUM(V17:V20)</f>
        <v>0</v>
      </c>
      <c r="J31" s="17"/>
      <c r="K31" s="28"/>
      <c r="L31" s="18">
        <f t="shared" si="3"/>
        <v>0</v>
      </c>
      <c r="N31" s="19"/>
      <c r="Y31" s="18"/>
      <c r="AA31" s="18"/>
      <c r="AB31" s="18"/>
      <c r="AC31" s="18"/>
      <c r="AD31" s="18"/>
      <c r="AE31" s="18"/>
      <c r="AF31" s="18"/>
    </row>
    <row r="32" spans="2:37" x14ac:dyDescent="0.2">
      <c r="D32" s="124"/>
      <c r="E32" s="4" t="s">
        <v>20</v>
      </c>
      <c r="F32" s="17"/>
      <c r="G32" s="17"/>
      <c r="H32" s="17"/>
      <c r="I32" s="17"/>
      <c r="J32" s="17"/>
      <c r="K32" s="28"/>
      <c r="L32" s="18">
        <f t="shared" si="3"/>
        <v>0</v>
      </c>
    </row>
    <row r="33" spans="1:37" s="7" customFormat="1" ht="17" thickBot="1" x14ac:dyDescent="0.25">
      <c r="A33" s="21"/>
      <c r="B33" s="21"/>
      <c r="C33" s="21"/>
      <c r="D33" s="125"/>
      <c r="E33" s="29" t="s">
        <v>21</v>
      </c>
      <c r="F33" s="30"/>
      <c r="G33" s="30"/>
      <c r="H33" s="30"/>
      <c r="I33" s="30"/>
      <c r="J33" s="30"/>
      <c r="K33" s="31"/>
      <c r="L33" s="18">
        <f t="shared" si="3"/>
        <v>0</v>
      </c>
      <c r="N33" s="19"/>
      <c r="AK33" s="21"/>
    </row>
    <row r="34" spans="1:37" s="7" customFormat="1" x14ac:dyDescent="0.2">
      <c r="A34" s="21"/>
      <c r="B34" s="21"/>
      <c r="C34" s="21"/>
      <c r="D34" s="126" t="s">
        <v>87</v>
      </c>
      <c r="E34" s="46" t="s">
        <v>45</v>
      </c>
      <c r="F34" s="61">
        <f>SUM(Y5:Y8)</f>
        <v>0</v>
      </c>
      <c r="G34" s="61">
        <f>SUM(Y9:Y12)</f>
        <v>0</v>
      </c>
      <c r="H34" s="61">
        <f>SUM(Y13:Y16)</f>
        <v>0</v>
      </c>
      <c r="I34" s="61">
        <f>SUM(Y17:Y20)</f>
        <v>0</v>
      </c>
      <c r="J34" s="61"/>
      <c r="K34" s="62"/>
      <c r="L34" s="18">
        <f t="shared" si="3"/>
        <v>0</v>
      </c>
      <c r="AK34" s="21"/>
    </row>
    <row r="35" spans="1:37" s="7" customFormat="1" x14ac:dyDescent="0.2">
      <c r="A35" s="21"/>
      <c r="B35" s="21"/>
      <c r="C35" s="21"/>
      <c r="D35" s="126"/>
      <c r="E35" s="47" t="s">
        <v>27</v>
      </c>
      <c r="F35" s="17"/>
      <c r="G35" s="17"/>
      <c r="H35" s="17"/>
      <c r="I35" s="17"/>
      <c r="J35" s="17"/>
      <c r="K35" s="28"/>
      <c r="L35" s="18">
        <f t="shared" si="3"/>
        <v>0</v>
      </c>
      <c r="AK35" s="21"/>
    </row>
    <row r="36" spans="1:37" s="7" customFormat="1" ht="17" x14ac:dyDescent="0.2">
      <c r="A36" s="21"/>
      <c r="B36" s="21"/>
      <c r="C36" s="21"/>
      <c r="D36" s="126"/>
      <c r="E36" s="48" t="s">
        <v>5</v>
      </c>
      <c r="F36" s="95">
        <f>SUM(AA5:AA8)</f>
        <v>5400</v>
      </c>
      <c r="G36" s="17">
        <f>SUM(AA9:AA12)</f>
        <v>0</v>
      </c>
      <c r="H36" s="17">
        <f>SUM(AA13:AA16)</f>
        <v>5400</v>
      </c>
      <c r="I36" s="17">
        <f>SUM(AA17:AA20)</f>
        <v>0</v>
      </c>
      <c r="J36" s="8"/>
      <c r="K36" s="63"/>
      <c r="L36" s="18">
        <f t="shared" si="3"/>
        <v>10800</v>
      </c>
      <c r="AK36" s="21"/>
    </row>
    <row r="37" spans="1:37" s="7" customFormat="1" ht="17" x14ac:dyDescent="0.2">
      <c r="A37" s="21"/>
      <c r="B37" s="21"/>
      <c r="C37" s="21"/>
      <c r="D37" s="126"/>
      <c r="E37" s="48" t="s">
        <v>93</v>
      </c>
      <c r="F37" s="23"/>
      <c r="G37" s="8"/>
      <c r="H37" s="8"/>
      <c r="I37" s="8"/>
      <c r="J37" s="8"/>
      <c r="K37" s="63"/>
      <c r="L37" s="18">
        <f t="shared" si="3"/>
        <v>0</v>
      </c>
      <c r="AK37" s="21"/>
    </row>
    <row r="38" spans="1:37" s="7" customFormat="1" ht="17" x14ac:dyDescent="0.2">
      <c r="A38" s="21"/>
      <c r="B38" s="21"/>
      <c r="C38" s="21"/>
      <c r="D38" s="126"/>
      <c r="E38" s="48" t="s">
        <v>92</v>
      </c>
      <c r="F38" s="23"/>
      <c r="G38" s="8"/>
      <c r="H38" s="8"/>
      <c r="I38" s="8"/>
      <c r="J38" s="8"/>
      <c r="K38" s="63"/>
      <c r="L38" s="18">
        <f t="shared" si="3"/>
        <v>0</v>
      </c>
      <c r="AK38" s="21"/>
    </row>
    <row r="39" spans="1:37" s="7" customFormat="1" ht="17" x14ac:dyDescent="0.2">
      <c r="A39" s="21"/>
      <c r="B39" s="21"/>
      <c r="C39" s="21"/>
      <c r="D39" s="126"/>
      <c r="E39" s="48" t="s">
        <v>91</v>
      </c>
      <c r="F39" s="23"/>
      <c r="G39" s="8"/>
      <c r="H39" s="8"/>
      <c r="I39" s="8"/>
      <c r="J39" s="8"/>
      <c r="K39" s="63"/>
      <c r="L39" s="18">
        <f t="shared" si="3"/>
        <v>0</v>
      </c>
      <c r="AK39" s="21"/>
    </row>
    <row r="40" spans="1:37" s="7" customFormat="1" ht="17" x14ac:dyDescent="0.2">
      <c r="A40" s="21"/>
      <c r="B40" s="21"/>
      <c r="C40" s="21"/>
      <c r="D40" s="126"/>
      <c r="E40" s="48" t="s">
        <v>25</v>
      </c>
      <c r="F40" s="95">
        <f>SUM(AE5:AE8)</f>
        <v>0</v>
      </c>
      <c r="G40" s="17">
        <f>SUM(AE9:AE12)</f>
        <v>0</v>
      </c>
      <c r="H40" s="96">
        <f>SUM(AE13:AE16)</f>
        <v>0</v>
      </c>
      <c r="I40" s="96">
        <f>SUM(AE17:AE20)</f>
        <v>0</v>
      </c>
      <c r="J40" s="8"/>
      <c r="K40" s="63"/>
      <c r="L40" s="18">
        <f t="shared" si="3"/>
        <v>0</v>
      </c>
      <c r="AK40" s="21"/>
    </row>
    <row r="41" spans="1:37" s="7" customFormat="1" ht="17" x14ac:dyDescent="0.2">
      <c r="A41" s="21"/>
      <c r="B41" s="21"/>
      <c r="C41" s="21"/>
      <c r="D41" s="126"/>
      <c r="E41" s="48" t="s">
        <v>90</v>
      </c>
      <c r="F41" s="23"/>
      <c r="G41" s="8"/>
      <c r="H41" s="8"/>
      <c r="I41" s="8"/>
      <c r="J41" s="8"/>
      <c r="K41" s="63"/>
      <c r="L41" s="18">
        <f t="shared" si="3"/>
        <v>0</v>
      </c>
      <c r="AK41" s="21"/>
    </row>
    <row r="42" spans="1:37" s="7" customFormat="1" ht="17" x14ac:dyDescent="0.2">
      <c r="A42" s="21"/>
      <c r="B42" s="21"/>
      <c r="C42" s="21"/>
      <c r="D42" s="126"/>
      <c r="E42" s="48" t="s">
        <v>89</v>
      </c>
      <c r="F42" s="23"/>
      <c r="G42" s="8"/>
      <c r="H42" s="8"/>
      <c r="I42" s="8"/>
      <c r="J42" s="8"/>
      <c r="K42" s="63"/>
      <c r="L42" s="18">
        <f t="shared" si="3"/>
        <v>0</v>
      </c>
      <c r="AK42" s="21"/>
    </row>
    <row r="43" spans="1:37" s="7" customFormat="1" ht="17" x14ac:dyDescent="0.2">
      <c r="A43" s="21"/>
      <c r="B43" s="21"/>
      <c r="C43" s="21"/>
      <c r="D43" s="126"/>
      <c r="E43" s="48" t="s">
        <v>23</v>
      </c>
      <c r="F43" s="23"/>
      <c r="G43" s="8"/>
      <c r="H43" s="8"/>
      <c r="I43" s="8"/>
      <c r="J43" s="8"/>
      <c r="K43" s="63"/>
      <c r="L43" s="18">
        <f t="shared" si="3"/>
        <v>0</v>
      </c>
      <c r="AK43" s="21"/>
    </row>
    <row r="44" spans="1:37" s="7" customFormat="1" ht="17" x14ac:dyDescent="0.2">
      <c r="A44" s="21"/>
      <c r="B44" s="21"/>
      <c r="C44" s="21"/>
      <c r="D44" s="126"/>
      <c r="E44" s="48" t="s">
        <v>24</v>
      </c>
      <c r="F44" s="95">
        <f>SUM(AI5:AI8)</f>
        <v>0</v>
      </c>
      <c r="G44" s="17">
        <f>SUM(AI9:AI12)</f>
        <v>0</v>
      </c>
      <c r="H44" s="17">
        <f>SUM(AI13:AI16)</f>
        <v>0</v>
      </c>
      <c r="I44" s="17">
        <f>SUM(AI17:AI20)</f>
        <v>0</v>
      </c>
      <c r="J44" s="8"/>
      <c r="K44" s="63"/>
      <c r="L44" s="18">
        <f t="shared" si="3"/>
        <v>0</v>
      </c>
      <c r="AK44" s="21"/>
    </row>
    <row r="45" spans="1:37" s="7" customFormat="1" ht="18" thickBot="1" x14ac:dyDescent="0.25">
      <c r="A45" s="21"/>
      <c r="B45" s="21"/>
      <c r="C45" s="21"/>
      <c r="D45" s="126"/>
      <c r="E45" s="49" t="s">
        <v>88</v>
      </c>
      <c r="F45" s="97">
        <f>SUM(AJ5:AJ8)</f>
        <v>0</v>
      </c>
      <c r="G45" s="30">
        <f>SUM(AJ9:AJ12)</f>
        <v>0</v>
      </c>
      <c r="H45" s="30">
        <f>SUM(AJ13:AJ16)</f>
        <v>0</v>
      </c>
      <c r="I45" s="30">
        <f>SUM(AJ17:AJ20)</f>
        <v>0</v>
      </c>
      <c r="J45" s="64"/>
      <c r="K45" s="65"/>
      <c r="L45" s="18">
        <f t="shared" si="3"/>
        <v>0</v>
      </c>
      <c r="AK45" s="21"/>
    </row>
    <row r="46" spans="1:37" s="7" customFormat="1" x14ac:dyDescent="0.2">
      <c r="A46" s="21"/>
      <c r="B46" s="21"/>
      <c r="C46" s="21"/>
      <c r="D46" s="21"/>
      <c r="E46" s="68" t="s">
        <v>98</v>
      </c>
      <c r="F46" s="69">
        <f t="shared" ref="F46:K46" si="4">SUM(F24:F45)</f>
        <v>5400</v>
      </c>
      <c r="G46" s="69">
        <f t="shared" si="4"/>
        <v>57270</v>
      </c>
      <c r="H46" s="69">
        <f t="shared" si="4"/>
        <v>5400</v>
      </c>
      <c r="I46" s="69">
        <f t="shared" si="4"/>
        <v>21635</v>
      </c>
      <c r="J46" s="69">
        <f t="shared" si="4"/>
        <v>0</v>
      </c>
      <c r="K46" s="69">
        <f t="shared" si="4"/>
        <v>0</v>
      </c>
      <c r="L46" s="18">
        <f t="shared" si="3"/>
        <v>89705</v>
      </c>
      <c r="AK46" s="21"/>
    </row>
  </sheetData>
  <mergeCells count="17">
    <mergeCell ref="H2:X2"/>
    <mergeCell ref="Y2:AJ2"/>
    <mergeCell ref="C3:C4"/>
    <mergeCell ref="D3:D4"/>
    <mergeCell ref="E3:E4"/>
    <mergeCell ref="F3:F4"/>
    <mergeCell ref="G3:G4"/>
    <mergeCell ref="H3:L3"/>
    <mergeCell ref="M3:T3"/>
    <mergeCell ref="U3:X3"/>
    <mergeCell ref="D24:D33"/>
    <mergeCell ref="D34:D45"/>
    <mergeCell ref="AB3:AJ3"/>
    <mergeCell ref="B5:B8"/>
    <mergeCell ref="B9:B12"/>
    <mergeCell ref="B13:B16"/>
    <mergeCell ref="B17:B20"/>
  </mergeCells>
  <pageMargins left="0.7" right="0.7" top="0.75" bottom="0.75" header="0.3" footer="0.3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44356-7A26-45FF-B438-7147C9A8C8C9}">
  <sheetPr>
    <tabColor theme="7" tint="0.59999389629810485"/>
  </sheetPr>
  <dimension ref="A2:AK46"/>
  <sheetViews>
    <sheetView showGridLines="0" topLeftCell="B14" zoomScale="80" zoomScaleNormal="80" workbookViewId="0">
      <selection activeCell="L36" sqref="L36"/>
    </sheetView>
  </sheetViews>
  <sheetFormatPr baseColWidth="10" defaultColWidth="13.83203125" defaultRowHeight="16" x14ac:dyDescent="0.2"/>
  <cols>
    <col min="1" max="1" width="3.6640625" style="21" customWidth="1"/>
    <col min="2" max="4" width="13.83203125" style="21"/>
    <col min="5" max="5" width="33.83203125" style="21" customWidth="1"/>
    <col min="6" max="6" width="13.83203125" style="21"/>
    <col min="7" max="7" width="17.6640625" style="7" bestFit="1" customWidth="1"/>
    <col min="8" max="8" width="14" style="7" customWidth="1"/>
    <col min="9" max="9" width="16.33203125" style="7" customWidth="1"/>
    <col min="10" max="11" width="14.33203125" style="7" customWidth="1"/>
    <col min="12" max="12" width="16" style="7" customWidth="1"/>
    <col min="13" max="13" width="12.6640625" style="7" customWidth="1"/>
    <col min="14" max="18" width="14.33203125" style="7" customWidth="1"/>
    <col min="19" max="19" width="15.6640625" style="7" customWidth="1"/>
    <col min="20" max="20" width="14.33203125" style="7" customWidth="1"/>
    <col min="21" max="23" width="11.5" style="7" customWidth="1"/>
    <col min="24" max="24" width="13.83203125" style="7" customWidth="1"/>
    <col min="25" max="25" width="17.1640625" style="7" customWidth="1"/>
    <col min="26" max="26" width="12.33203125" style="7" customWidth="1"/>
    <col min="27" max="27" width="14.5" style="7" bestFit="1" customWidth="1"/>
    <col min="28" max="36" width="14.5" style="7" customWidth="1"/>
    <col min="37" max="37" width="13.83203125" style="21"/>
    <col min="38" max="38" width="10.1640625" style="21" customWidth="1"/>
    <col min="39" max="16384" width="13.83203125" style="21"/>
  </cols>
  <sheetData>
    <row r="2" spans="2:37" ht="24" x14ac:dyDescent="0.3">
      <c r="C2" s="11"/>
      <c r="D2" s="11"/>
      <c r="E2" s="7"/>
      <c r="F2" s="7"/>
      <c r="H2" s="129" t="s">
        <v>50</v>
      </c>
      <c r="I2" s="129"/>
      <c r="J2" s="129"/>
      <c r="K2" s="129"/>
      <c r="L2" s="129"/>
      <c r="M2" s="129"/>
      <c r="N2" s="129"/>
      <c r="O2" s="129"/>
      <c r="P2" s="129"/>
      <c r="Q2" s="129"/>
      <c r="R2" s="129"/>
      <c r="S2" s="129"/>
      <c r="T2" s="129"/>
      <c r="U2" s="129"/>
      <c r="V2" s="129"/>
      <c r="W2" s="129"/>
      <c r="X2" s="129"/>
      <c r="Y2" s="130"/>
      <c r="Z2" s="130"/>
      <c r="AA2" s="130"/>
      <c r="AB2" s="130"/>
      <c r="AC2" s="130"/>
      <c r="AD2" s="130"/>
      <c r="AE2" s="130"/>
      <c r="AF2" s="130"/>
      <c r="AG2" s="130"/>
      <c r="AH2" s="130"/>
      <c r="AI2" s="130"/>
      <c r="AJ2" s="130"/>
    </row>
    <row r="3" spans="2:37" ht="21" x14ac:dyDescent="0.25">
      <c r="C3" s="131" t="s">
        <v>53</v>
      </c>
      <c r="D3" s="133" t="s">
        <v>48</v>
      </c>
      <c r="E3" s="135" t="s">
        <v>2</v>
      </c>
      <c r="F3" s="135" t="s">
        <v>3</v>
      </c>
      <c r="G3" s="137" t="s">
        <v>4</v>
      </c>
      <c r="H3" s="139" t="s">
        <v>60</v>
      </c>
      <c r="I3" s="140"/>
      <c r="J3" s="140"/>
      <c r="K3" s="140"/>
      <c r="L3" s="141"/>
      <c r="M3" s="139" t="s">
        <v>1</v>
      </c>
      <c r="N3" s="140"/>
      <c r="O3" s="140"/>
      <c r="P3" s="140"/>
      <c r="Q3" s="140"/>
      <c r="R3" s="140"/>
      <c r="S3" s="140"/>
      <c r="T3" s="141"/>
      <c r="U3" s="139" t="s">
        <v>85</v>
      </c>
      <c r="V3" s="140"/>
      <c r="W3" s="140"/>
      <c r="X3" s="141"/>
      <c r="Y3" s="44" t="s">
        <v>0</v>
      </c>
      <c r="Z3" s="44" t="s">
        <v>83</v>
      </c>
      <c r="AA3" s="44" t="s">
        <v>86</v>
      </c>
      <c r="AB3" s="127"/>
      <c r="AC3" s="127"/>
      <c r="AD3" s="127"/>
      <c r="AE3" s="127"/>
      <c r="AF3" s="127"/>
      <c r="AG3" s="127"/>
      <c r="AH3" s="127"/>
      <c r="AI3" s="127"/>
      <c r="AJ3" s="127"/>
    </row>
    <row r="4" spans="2:37" ht="64" x14ac:dyDescent="0.2">
      <c r="C4" s="132"/>
      <c r="D4" s="134"/>
      <c r="E4" s="136"/>
      <c r="F4" s="136"/>
      <c r="G4" s="138"/>
      <c r="H4" s="67" t="s">
        <v>99</v>
      </c>
      <c r="I4" s="43" t="s">
        <v>52</v>
      </c>
      <c r="J4" s="43" t="s">
        <v>61</v>
      </c>
      <c r="K4" s="43" t="s">
        <v>62</v>
      </c>
      <c r="L4" s="43" t="s">
        <v>63</v>
      </c>
      <c r="M4" s="67" t="s">
        <v>11</v>
      </c>
      <c r="N4" s="67" t="s">
        <v>12</v>
      </c>
      <c r="O4" s="67" t="s">
        <v>13</v>
      </c>
      <c r="P4" s="67" t="s">
        <v>14</v>
      </c>
      <c r="Q4" s="67" t="s">
        <v>15</v>
      </c>
      <c r="R4" s="67" t="s">
        <v>16</v>
      </c>
      <c r="S4" s="43" t="s">
        <v>17</v>
      </c>
      <c r="T4" s="43" t="s">
        <v>18</v>
      </c>
      <c r="U4" s="43" t="s">
        <v>19</v>
      </c>
      <c r="V4" s="43" t="s">
        <v>100</v>
      </c>
      <c r="W4" s="43" t="s">
        <v>20</v>
      </c>
      <c r="X4" s="43" t="s">
        <v>21</v>
      </c>
      <c r="Y4" s="43" t="s">
        <v>10</v>
      </c>
      <c r="Z4" s="43" t="s">
        <v>27</v>
      </c>
      <c r="AA4" s="43" t="s">
        <v>5</v>
      </c>
      <c r="AB4" s="43" t="s">
        <v>6</v>
      </c>
      <c r="AC4" s="43" t="s">
        <v>7</v>
      </c>
      <c r="AD4" s="43" t="s">
        <v>8</v>
      </c>
      <c r="AE4" s="43" t="s">
        <v>25</v>
      </c>
      <c r="AF4" s="43" t="s">
        <v>9</v>
      </c>
      <c r="AG4" s="43" t="s">
        <v>22</v>
      </c>
      <c r="AH4" s="43" t="s">
        <v>23</v>
      </c>
      <c r="AI4" s="43" t="s">
        <v>24</v>
      </c>
      <c r="AJ4" s="43" t="s">
        <v>26</v>
      </c>
      <c r="AK4" s="101" t="s">
        <v>96</v>
      </c>
    </row>
    <row r="5" spans="2:37" x14ac:dyDescent="0.2">
      <c r="B5" s="128" t="s">
        <v>64</v>
      </c>
      <c r="C5" s="51" t="s">
        <v>82</v>
      </c>
      <c r="D5" s="77">
        <v>1</v>
      </c>
      <c r="E5" s="78" t="s">
        <v>102</v>
      </c>
      <c r="F5" s="70" t="s">
        <v>30</v>
      </c>
      <c r="G5" s="55"/>
      <c r="H5" s="55"/>
      <c r="I5" s="55"/>
      <c r="J5" s="55"/>
      <c r="K5" s="86"/>
      <c r="L5" s="55"/>
      <c r="M5" s="55"/>
      <c r="N5" s="55"/>
      <c r="O5" s="55"/>
      <c r="P5" s="55"/>
      <c r="Q5" s="55"/>
      <c r="R5" s="55"/>
      <c r="S5" s="89"/>
      <c r="T5" s="55"/>
      <c r="U5" s="55"/>
      <c r="V5" s="55"/>
      <c r="W5" s="55"/>
      <c r="X5" s="55"/>
      <c r="Y5" s="86">
        <v>0</v>
      </c>
      <c r="Z5" s="55"/>
      <c r="AA5" s="86">
        <v>0</v>
      </c>
      <c r="AB5" s="55"/>
      <c r="AC5" s="55"/>
      <c r="AD5" s="55"/>
      <c r="AE5" s="86">
        <v>0</v>
      </c>
      <c r="AF5" s="55"/>
      <c r="AG5" s="55"/>
      <c r="AH5" s="55"/>
      <c r="AI5" s="86">
        <v>0</v>
      </c>
      <c r="AJ5" s="41">
        <v>0</v>
      </c>
      <c r="AK5" s="100">
        <f t="shared" ref="AK5:AK20" si="0">SUM(S5:AJ5)+SUM(I5:L5)</f>
        <v>0</v>
      </c>
    </row>
    <row r="6" spans="2:37" x14ac:dyDescent="0.2">
      <c r="B6" s="128"/>
      <c r="C6" s="34" t="s">
        <v>68</v>
      </c>
      <c r="D6" s="72">
        <v>2</v>
      </c>
      <c r="E6" s="73" t="s">
        <v>103</v>
      </c>
      <c r="F6" s="74" t="s">
        <v>29</v>
      </c>
      <c r="G6" s="33"/>
      <c r="H6" s="17"/>
      <c r="I6" s="17">
        <f>I5*G6</f>
        <v>0</v>
      </c>
      <c r="J6" s="17"/>
      <c r="K6" s="90">
        <v>0</v>
      </c>
      <c r="L6" s="17"/>
      <c r="M6" s="33"/>
      <c r="N6" s="33"/>
      <c r="O6" s="24"/>
      <c r="P6" s="24"/>
      <c r="Q6" s="24"/>
      <c r="R6" s="17">
        <f>O6*0.045</f>
        <v>0</v>
      </c>
      <c r="S6" s="20"/>
      <c r="T6" s="90">
        <f t="shared" ref="T6:T20" si="1">SUM(O6:R6)*M6*N6</f>
        <v>0</v>
      </c>
      <c r="U6" s="17"/>
      <c r="V6" s="24">
        <v>0</v>
      </c>
      <c r="W6" s="17"/>
      <c r="X6" s="17"/>
      <c r="Y6" s="90"/>
      <c r="Z6" s="17"/>
      <c r="AA6" s="90">
        <v>0</v>
      </c>
      <c r="AB6" s="10"/>
      <c r="AC6" s="10"/>
      <c r="AD6" s="10"/>
      <c r="AE6" s="10"/>
      <c r="AF6" s="10"/>
      <c r="AG6" s="17"/>
      <c r="AH6" s="17"/>
      <c r="AI6" s="17"/>
      <c r="AJ6" s="17"/>
      <c r="AK6" s="100">
        <f t="shared" si="0"/>
        <v>0</v>
      </c>
    </row>
    <row r="7" spans="2:37" x14ac:dyDescent="0.2">
      <c r="B7" s="128"/>
      <c r="C7" s="15" t="s">
        <v>69</v>
      </c>
      <c r="D7" s="75">
        <v>3</v>
      </c>
      <c r="E7" s="73" t="s">
        <v>104</v>
      </c>
      <c r="F7" s="74" t="s">
        <v>29</v>
      </c>
      <c r="G7" s="33"/>
      <c r="H7" s="17"/>
      <c r="I7" s="17">
        <f>I6*G7</f>
        <v>0</v>
      </c>
      <c r="J7" s="17"/>
      <c r="K7" s="90">
        <v>0</v>
      </c>
      <c r="L7" s="17"/>
      <c r="M7" s="33"/>
      <c r="N7" s="33"/>
      <c r="O7" s="24"/>
      <c r="P7" s="24"/>
      <c r="Q7" s="24"/>
      <c r="R7" s="17">
        <f>O7*0.045</f>
        <v>0</v>
      </c>
      <c r="S7" s="20"/>
      <c r="T7" s="90">
        <f t="shared" si="1"/>
        <v>0</v>
      </c>
      <c r="U7" s="17"/>
      <c r="V7" s="24">
        <v>0</v>
      </c>
      <c r="W7" s="17"/>
      <c r="X7" s="17"/>
      <c r="Y7" s="90"/>
      <c r="Z7" s="17"/>
      <c r="AA7" s="90">
        <v>0</v>
      </c>
      <c r="AB7" s="10"/>
      <c r="AC7" s="10"/>
      <c r="AD7" s="10"/>
      <c r="AE7" s="10"/>
      <c r="AF7" s="10"/>
      <c r="AG7" s="17"/>
      <c r="AH7" s="17"/>
      <c r="AI7" s="17"/>
      <c r="AJ7" s="17"/>
      <c r="AK7" s="100">
        <f t="shared" si="0"/>
        <v>0</v>
      </c>
    </row>
    <row r="8" spans="2:37" x14ac:dyDescent="0.2">
      <c r="B8" s="128"/>
      <c r="C8" s="55" t="s">
        <v>94</v>
      </c>
      <c r="D8" s="77">
        <v>4</v>
      </c>
      <c r="E8" s="79" t="s">
        <v>105</v>
      </c>
      <c r="F8" s="80" t="s">
        <v>30</v>
      </c>
      <c r="G8" s="55"/>
      <c r="H8" s="57"/>
      <c r="I8" s="57"/>
      <c r="J8" s="57"/>
      <c r="K8" s="86"/>
      <c r="L8" s="57"/>
      <c r="M8" s="55"/>
      <c r="N8" s="55"/>
      <c r="O8" s="57"/>
      <c r="P8" s="57"/>
      <c r="Q8" s="57"/>
      <c r="R8" s="57"/>
      <c r="S8" s="82"/>
      <c r="T8" s="57">
        <f t="shared" si="1"/>
        <v>0</v>
      </c>
      <c r="U8" s="57"/>
      <c r="V8" s="57"/>
      <c r="W8" s="57"/>
      <c r="X8" s="57"/>
      <c r="Y8" s="86"/>
      <c r="Z8" s="57"/>
      <c r="AA8" s="86">
        <v>5400</v>
      </c>
      <c r="AB8" s="58"/>
      <c r="AC8" s="58"/>
      <c r="AD8" s="58"/>
      <c r="AE8" s="86">
        <v>0</v>
      </c>
      <c r="AF8" s="58"/>
      <c r="AG8" s="57"/>
      <c r="AH8" s="57"/>
      <c r="AI8" s="86">
        <v>0</v>
      </c>
      <c r="AJ8" s="41">
        <v>0</v>
      </c>
      <c r="AK8" s="100">
        <f t="shared" si="0"/>
        <v>5400</v>
      </c>
    </row>
    <row r="9" spans="2:37" x14ac:dyDescent="0.2">
      <c r="B9" s="128" t="s">
        <v>65</v>
      </c>
      <c r="C9" s="51" t="s">
        <v>81</v>
      </c>
      <c r="D9" s="77">
        <v>5</v>
      </c>
      <c r="E9" s="79" t="s">
        <v>107</v>
      </c>
      <c r="F9" s="80" t="s">
        <v>30</v>
      </c>
      <c r="G9" s="55"/>
      <c r="H9" s="57"/>
      <c r="I9" s="57"/>
      <c r="J9" s="57"/>
      <c r="K9" s="86"/>
      <c r="L9" s="57"/>
      <c r="M9" s="55"/>
      <c r="N9" s="55"/>
      <c r="O9" s="57"/>
      <c r="P9" s="57"/>
      <c r="Q9" s="57"/>
      <c r="R9" s="57"/>
      <c r="S9" s="82"/>
      <c r="T9" s="57">
        <f t="shared" si="1"/>
        <v>0</v>
      </c>
      <c r="U9" s="57"/>
      <c r="V9" s="57"/>
      <c r="W9" s="57"/>
      <c r="X9" s="57"/>
      <c r="Y9" s="86"/>
      <c r="Z9" s="57"/>
      <c r="AA9" s="86">
        <v>0</v>
      </c>
      <c r="AB9" s="58"/>
      <c r="AC9" s="58"/>
      <c r="AD9" s="58"/>
      <c r="AE9" s="86">
        <v>0</v>
      </c>
      <c r="AF9" s="58"/>
      <c r="AG9" s="57"/>
      <c r="AH9" s="57"/>
      <c r="AI9" s="86">
        <v>0</v>
      </c>
      <c r="AJ9" s="41">
        <v>0</v>
      </c>
      <c r="AK9" s="100">
        <f t="shared" si="0"/>
        <v>0</v>
      </c>
    </row>
    <row r="10" spans="2:37" x14ac:dyDescent="0.2">
      <c r="B10" s="128"/>
      <c r="C10" s="15" t="s">
        <v>70</v>
      </c>
      <c r="D10" s="75">
        <v>6</v>
      </c>
      <c r="E10" s="73" t="s">
        <v>37</v>
      </c>
      <c r="F10" s="74" t="s">
        <v>29</v>
      </c>
      <c r="G10" s="8">
        <v>23</v>
      </c>
      <c r="H10" s="5">
        <v>245</v>
      </c>
      <c r="I10" s="17">
        <f>H10*G10</f>
        <v>5635</v>
      </c>
      <c r="J10" s="17"/>
      <c r="K10" s="91">
        <v>0</v>
      </c>
      <c r="L10" s="17"/>
      <c r="M10" s="8"/>
      <c r="N10" s="8"/>
      <c r="O10" s="17"/>
      <c r="P10" s="17"/>
      <c r="Q10" s="17"/>
      <c r="R10" s="17">
        <f>O10*0.03</f>
        <v>0</v>
      </c>
      <c r="S10" s="20"/>
      <c r="T10" s="91">
        <f t="shared" si="1"/>
        <v>0</v>
      </c>
      <c r="U10" s="17">
        <v>24000</v>
      </c>
      <c r="V10" s="17"/>
      <c r="W10" s="17"/>
      <c r="X10" s="17"/>
      <c r="Y10" s="91"/>
      <c r="Z10" s="17"/>
      <c r="AA10" s="90">
        <v>0</v>
      </c>
      <c r="AB10" s="10"/>
      <c r="AC10" s="10"/>
      <c r="AD10" s="10"/>
      <c r="AE10" s="10"/>
      <c r="AF10" s="10"/>
      <c r="AG10" s="17"/>
      <c r="AH10" s="17"/>
      <c r="AI10" s="17"/>
      <c r="AJ10" s="17"/>
      <c r="AK10" s="100">
        <f t="shared" si="0"/>
        <v>29635</v>
      </c>
    </row>
    <row r="11" spans="2:37" x14ac:dyDescent="0.2">
      <c r="B11" s="128"/>
      <c r="C11" s="15" t="s">
        <v>71</v>
      </c>
      <c r="D11" s="75">
        <v>7</v>
      </c>
      <c r="E11" s="73" t="s">
        <v>38</v>
      </c>
      <c r="F11" s="74" t="s">
        <v>29</v>
      </c>
      <c r="G11" s="8">
        <v>23</v>
      </c>
      <c r="H11" s="5">
        <v>245</v>
      </c>
      <c r="I11" s="17">
        <f>H11*G11</f>
        <v>5635</v>
      </c>
      <c r="J11" s="17"/>
      <c r="K11" s="91">
        <v>0</v>
      </c>
      <c r="L11" s="17"/>
      <c r="M11" s="8"/>
      <c r="N11" s="8"/>
      <c r="O11" s="17"/>
      <c r="P11" s="17"/>
      <c r="Q11" s="17"/>
      <c r="R11" s="17">
        <f>O11*0.03</f>
        <v>0</v>
      </c>
      <c r="S11" s="20"/>
      <c r="T11" s="91">
        <f t="shared" si="1"/>
        <v>0</v>
      </c>
      <c r="U11" s="17">
        <v>22000</v>
      </c>
      <c r="V11" s="5"/>
      <c r="W11" s="17"/>
      <c r="X11" s="17"/>
      <c r="Y11" s="91"/>
      <c r="Z11" s="17"/>
      <c r="AA11" s="90">
        <v>0</v>
      </c>
      <c r="AB11" s="10"/>
      <c r="AC11" s="10"/>
      <c r="AD11" s="10"/>
      <c r="AE11" s="10"/>
      <c r="AF11" s="10"/>
      <c r="AG11" s="17"/>
      <c r="AH11" s="17"/>
      <c r="AI11" s="17"/>
      <c r="AJ11" s="17"/>
      <c r="AK11" s="100">
        <f t="shared" si="0"/>
        <v>27635</v>
      </c>
    </row>
    <row r="12" spans="2:37" x14ac:dyDescent="0.2">
      <c r="B12" s="128"/>
      <c r="C12" s="51" t="s">
        <v>72</v>
      </c>
      <c r="D12" s="77">
        <v>8</v>
      </c>
      <c r="E12" s="79" t="s">
        <v>40</v>
      </c>
      <c r="F12" s="80" t="s">
        <v>30</v>
      </c>
      <c r="G12" s="55"/>
      <c r="H12" s="57"/>
      <c r="I12" s="57"/>
      <c r="J12" s="57"/>
      <c r="K12" s="86"/>
      <c r="L12" s="57"/>
      <c r="M12" s="55"/>
      <c r="N12" s="55"/>
      <c r="O12" s="57"/>
      <c r="P12" s="57"/>
      <c r="Q12" s="57"/>
      <c r="R12" s="57"/>
      <c r="S12" s="82"/>
      <c r="T12" s="57">
        <f t="shared" si="1"/>
        <v>0</v>
      </c>
      <c r="U12" s="57"/>
      <c r="V12" s="57"/>
      <c r="W12" s="57"/>
      <c r="X12" s="57"/>
      <c r="Y12" s="86"/>
      <c r="Z12" s="57"/>
      <c r="AA12" s="86">
        <v>0</v>
      </c>
      <c r="AB12" s="58"/>
      <c r="AC12" s="58"/>
      <c r="AD12" s="58"/>
      <c r="AE12" s="86">
        <v>0</v>
      </c>
      <c r="AF12" s="58"/>
      <c r="AG12" s="57"/>
      <c r="AH12" s="57"/>
      <c r="AI12" s="86">
        <v>0</v>
      </c>
      <c r="AJ12" s="41">
        <v>0</v>
      </c>
      <c r="AK12" s="100">
        <f t="shared" si="0"/>
        <v>0</v>
      </c>
    </row>
    <row r="13" spans="2:37" x14ac:dyDescent="0.2">
      <c r="B13" s="128" t="s">
        <v>66</v>
      </c>
      <c r="C13" s="15" t="s">
        <v>73</v>
      </c>
      <c r="D13" s="75">
        <v>9</v>
      </c>
      <c r="E13" s="73" t="s">
        <v>102</v>
      </c>
      <c r="F13" s="74" t="s">
        <v>29</v>
      </c>
      <c r="G13" s="33"/>
      <c r="H13" s="21"/>
      <c r="I13" s="17"/>
      <c r="J13" s="17"/>
      <c r="K13" s="90">
        <v>0</v>
      </c>
      <c r="L13" s="17"/>
      <c r="M13" s="33"/>
      <c r="N13" s="33"/>
      <c r="O13" s="24"/>
      <c r="P13" s="24"/>
      <c r="Q13" s="24"/>
      <c r="R13" s="17">
        <f>O13*0.045</f>
        <v>0</v>
      </c>
      <c r="S13" s="20"/>
      <c r="T13" s="90">
        <f t="shared" si="1"/>
        <v>0</v>
      </c>
      <c r="U13" s="17"/>
      <c r="V13" s="24"/>
      <c r="W13" s="17"/>
      <c r="X13" s="17"/>
      <c r="Y13" s="90"/>
      <c r="Z13" s="17"/>
      <c r="AA13" s="90">
        <v>0</v>
      </c>
      <c r="AB13" s="10"/>
      <c r="AC13" s="10"/>
      <c r="AD13" s="10"/>
      <c r="AE13" s="10"/>
      <c r="AF13" s="10"/>
      <c r="AG13" s="17"/>
      <c r="AH13" s="17"/>
      <c r="AI13" s="17"/>
      <c r="AJ13" s="17"/>
      <c r="AK13" s="100">
        <f t="shared" si="0"/>
        <v>0</v>
      </c>
    </row>
    <row r="14" spans="2:37" x14ac:dyDescent="0.2">
      <c r="B14" s="128"/>
      <c r="C14" s="51" t="s">
        <v>74</v>
      </c>
      <c r="D14" s="77">
        <v>10</v>
      </c>
      <c r="E14" s="79" t="s">
        <v>103</v>
      </c>
      <c r="F14" s="81" t="s">
        <v>30</v>
      </c>
      <c r="G14" s="55"/>
      <c r="H14" s="57"/>
      <c r="I14" s="57"/>
      <c r="J14" s="57"/>
      <c r="K14" s="86"/>
      <c r="L14" s="57"/>
      <c r="M14" s="55"/>
      <c r="N14" s="55"/>
      <c r="O14" s="57"/>
      <c r="P14" s="57"/>
      <c r="Q14" s="57"/>
      <c r="R14" s="57"/>
      <c r="S14" s="82"/>
      <c r="T14" s="57">
        <f t="shared" si="1"/>
        <v>0</v>
      </c>
      <c r="U14" s="57"/>
      <c r="V14" s="57"/>
      <c r="W14" s="57"/>
      <c r="X14" s="57"/>
      <c r="Y14" s="86"/>
      <c r="Z14" s="57"/>
      <c r="AA14" s="86">
        <v>0</v>
      </c>
      <c r="AB14" s="58"/>
      <c r="AC14" s="58"/>
      <c r="AD14" s="58"/>
      <c r="AE14" s="86">
        <v>0</v>
      </c>
      <c r="AF14" s="58"/>
      <c r="AG14" s="57"/>
      <c r="AH14" s="57"/>
      <c r="AI14" s="86">
        <v>0</v>
      </c>
      <c r="AJ14" s="41">
        <v>0</v>
      </c>
      <c r="AK14" s="100">
        <f t="shared" si="0"/>
        <v>0</v>
      </c>
    </row>
    <row r="15" spans="2:37" x14ac:dyDescent="0.2">
      <c r="B15" s="128"/>
      <c r="C15" s="51" t="s">
        <v>75</v>
      </c>
      <c r="D15" s="77">
        <v>11</v>
      </c>
      <c r="E15" s="79" t="s">
        <v>104</v>
      </c>
      <c r="F15" s="81" t="s">
        <v>30</v>
      </c>
      <c r="G15" s="55"/>
      <c r="H15" s="57"/>
      <c r="I15" s="57"/>
      <c r="J15" s="57"/>
      <c r="K15" s="86"/>
      <c r="L15" s="57"/>
      <c r="M15" s="55"/>
      <c r="N15" s="55"/>
      <c r="O15" s="57"/>
      <c r="P15" s="57"/>
      <c r="Q15" s="57"/>
      <c r="R15" s="57"/>
      <c r="S15" s="82"/>
      <c r="T15" s="57">
        <f t="shared" si="1"/>
        <v>0</v>
      </c>
      <c r="U15" s="57"/>
      <c r="V15" s="57"/>
      <c r="W15" s="57"/>
      <c r="X15" s="57"/>
      <c r="Y15" s="86"/>
      <c r="Z15" s="57"/>
      <c r="AA15" s="86">
        <v>5400</v>
      </c>
      <c r="AB15" s="58"/>
      <c r="AC15" s="58"/>
      <c r="AD15" s="58"/>
      <c r="AE15" s="86">
        <v>0</v>
      </c>
      <c r="AF15" s="58"/>
      <c r="AG15" s="57"/>
      <c r="AH15" s="57"/>
      <c r="AI15" s="86">
        <v>0</v>
      </c>
      <c r="AJ15" s="41">
        <v>0</v>
      </c>
      <c r="AK15" s="100">
        <f t="shared" si="0"/>
        <v>5400</v>
      </c>
    </row>
    <row r="16" spans="2:37" x14ac:dyDescent="0.2">
      <c r="B16" s="128"/>
      <c r="C16" s="15" t="s">
        <v>80</v>
      </c>
      <c r="D16" s="75">
        <v>12</v>
      </c>
      <c r="E16" s="73" t="s">
        <v>105</v>
      </c>
      <c r="F16" s="74" t="s">
        <v>29</v>
      </c>
      <c r="G16" s="33"/>
      <c r="H16" s="21"/>
      <c r="I16" s="17">
        <f>I15*G16</f>
        <v>0</v>
      </c>
      <c r="J16" s="17"/>
      <c r="K16" s="90">
        <v>0</v>
      </c>
      <c r="L16" s="17"/>
      <c r="M16" s="33"/>
      <c r="N16" s="33"/>
      <c r="O16" s="24"/>
      <c r="P16" s="24"/>
      <c r="Q16" s="24"/>
      <c r="R16" s="17">
        <f>O16*0.045</f>
        <v>0</v>
      </c>
      <c r="S16" s="20"/>
      <c r="T16" s="90">
        <f t="shared" si="1"/>
        <v>0</v>
      </c>
      <c r="U16" s="17"/>
      <c r="V16" s="24"/>
      <c r="W16" s="17"/>
      <c r="X16" s="17"/>
      <c r="Y16" s="90"/>
      <c r="Z16" s="17"/>
      <c r="AA16" s="90">
        <v>0</v>
      </c>
      <c r="AB16" s="10"/>
      <c r="AC16" s="10"/>
      <c r="AD16" s="10"/>
      <c r="AE16" s="10"/>
      <c r="AF16" s="10"/>
      <c r="AG16" s="17"/>
      <c r="AH16" s="17"/>
      <c r="AI16" s="17"/>
      <c r="AJ16" s="17"/>
      <c r="AK16" s="100">
        <f t="shared" si="0"/>
        <v>0</v>
      </c>
    </row>
    <row r="17" spans="2:37" x14ac:dyDescent="0.2">
      <c r="B17" s="128" t="s">
        <v>67</v>
      </c>
      <c r="C17" s="15" t="s">
        <v>76</v>
      </c>
      <c r="D17" s="75">
        <v>13</v>
      </c>
      <c r="E17" s="73" t="s">
        <v>107</v>
      </c>
      <c r="F17" s="76" t="s">
        <v>29</v>
      </c>
      <c r="G17" s="8">
        <v>23</v>
      </c>
      <c r="H17" s="5">
        <v>245</v>
      </c>
      <c r="I17" s="17">
        <f>H17*G17</f>
        <v>5635</v>
      </c>
      <c r="J17" s="17"/>
      <c r="K17" s="90">
        <v>0</v>
      </c>
      <c r="L17" s="17"/>
      <c r="M17" s="8"/>
      <c r="N17" s="8"/>
      <c r="O17" s="8"/>
      <c r="P17" s="8"/>
      <c r="Q17" s="8"/>
      <c r="R17" s="17">
        <f>O17*0.03</f>
        <v>0</v>
      </c>
      <c r="S17" s="20"/>
      <c r="T17" s="91">
        <f t="shared" si="1"/>
        <v>0</v>
      </c>
      <c r="U17" s="91">
        <v>16000</v>
      </c>
      <c r="V17" s="24"/>
      <c r="W17" s="17"/>
      <c r="X17" s="17"/>
      <c r="Y17" s="91"/>
      <c r="Z17" s="17"/>
      <c r="AA17" s="90">
        <v>0</v>
      </c>
      <c r="AB17" s="10"/>
      <c r="AC17" s="10"/>
      <c r="AD17" s="10"/>
      <c r="AE17" s="10"/>
      <c r="AF17" s="10"/>
      <c r="AG17" s="17"/>
      <c r="AH17" s="17"/>
      <c r="AI17" s="17"/>
      <c r="AJ17" s="17"/>
      <c r="AK17" s="100">
        <f t="shared" si="0"/>
        <v>21635</v>
      </c>
    </row>
    <row r="18" spans="2:37" x14ac:dyDescent="0.2">
      <c r="B18" s="128"/>
      <c r="C18" s="51" t="s">
        <v>77</v>
      </c>
      <c r="D18" s="77">
        <v>14</v>
      </c>
      <c r="E18" s="79" t="s">
        <v>37</v>
      </c>
      <c r="F18" s="81" t="s">
        <v>30</v>
      </c>
      <c r="G18" s="82"/>
      <c r="H18" s="82"/>
      <c r="I18" s="82"/>
      <c r="J18" s="57"/>
      <c r="K18" s="93"/>
      <c r="L18" s="57"/>
      <c r="M18" s="54"/>
      <c r="N18" s="54"/>
      <c r="O18" s="54"/>
      <c r="P18" s="83"/>
      <c r="Q18" s="83"/>
      <c r="R18" s="83"/>
      <c r="S18" s="82"/>
      <c r="T18" s="83">
        <f t="shared" si="1"/>
        <v>0</v>
      </c>
      <c r="U18" s="57"/>
      <c r="V18" s="54"/>
      <c r="W18" s="57"/>
      <c r="X18" s="57"/>
      <c r="Y18" s="94"/>
      <c r="Z18" s="57"/>
      <c r="AA18" s="86">
        <v>0</v>
      </c>
      <c r="AB18" s="58"/>
      <c r="AC18" s="58"/>
      <c r="AD18" s="58"/>
      <c r="AE18" s="86">
        <v>0</v>
      </c>
      <c r="AF18" s="58"/>
      <c r="AG18" s="57"/>
      <c r="AH18" s="57"/>
      <c r="AI18" s="86">
        <v>0</v>
      </c>
      <c r="AJ18" s="41">
        <v>0</v>
      </c>
      <c r="AK18" s="100">
        <f t="shared" si="0"/>
        <v>0</v>
      </c>
    </row>
    <row r="19" spans="2:37" x14ac:dyDescent="0.2">
      <c r="B19" s="128"/>
      <c r="C19" s="51" t="s">
        <v>78</v>
      </c>
      <c r="D19" s="77">
        <v>15</v>
      </c>
      <c r="E19" s="79" t="s">
        <v>38</v>
      </c>
      <c r="F19" s="81" t="s">
        <v>30</v>
      </c>
      <c r="G19" s="82"/>
      <c r="H19" s="82"/>
      <c r="I19" s="82"/>
      <c r="J19" s="57"/>
      <c r="K19" s="93"/>
      <c r="L19" s="57"/>
      <c r="M19" s="54"/>
      <c r="N19" s="54"/>
      <c r="O19" s="54"/>
      <c r="P19" s="83"/>
      <c r="Q19" s="83"/>
      <c r="R19" s="83"/>
      <c r="S19" s="82"/>
      <c r="T19" s="83">
        <f t="shared" si="1"/>
        <v>0</v>
      </c>
      <c r="U19" s="57"/>
      <c r="V19" s="54"/>
      <c r="W19" s="57"/>
      <c r="X19" s="57"/>
      <c r="Y19" s="94"/>
      <c r="Z19" s="57"/>
      <c r="AA19" s="86">
        <v>0</v>
      </c>
      <c r="AB19" s="58"/>
      <c r="AC19" s="58"/>
      <c r="AD19" s="58"/>
      <c r="AE19" s="86">
        <v>0</v>
      </c>
      <c r="AF19" s="58"/>
      <c r="AG19" s="57"/>
      <c r="AH19" s="57"/>
      <c r="AI19" s="86">
        <v>0</v>
      </c>
      <c r="AJ19" s="41">
        <v>0</v>
      </c>
      <c r="AK19" s="100">
        <f t="shared" si="0"/>
        <v>0</v>
      </c>
    </row>
    <row r="20" spans="2:37" x14ac:dyDescent="0.2">
      <c r="B20" s="128"/>
      <c r="C20" s="15" t="s">
        <v>79</v>
      </c>
      <c r="D20" s="75">
        <v>16</v>
      </c>
      <c r="E20" s="73" t="s">
        <v>40</v>
      </c>
      <c r="F20" s="76" t="s">
        <v>29</v>
      </c>
      <c r="G20" s="33"/>
      <c r="H20" s="23"/>
      <c r="I20" s="17">
        <f>I19*G20</f>
        <v>0</v>
      </c>
      <c r="J20" s="17"/>
      <c r="K20" s="90">
        <v>0</v>
      </c>
      <c r="L20" s="17"/>
      <c r="M20" s="33"/>
      <c r="N20" s="33"/>
      <c r="O20" s="24"/>
      <c r="P20" s="24"/>
      <c r="Q20" s="24"/>
      <c r="R20" s="17">
        <f>O20*0.045</f>
        <v>0</v>
      </c>
      <c r="S20" s="20"/>
      <c r="T20" s="90">
        <f t="shared" si="1"/>
        <v>0</v>
      </c>
      <c r="U20" s="17"/>
      <c r="V20" s="24">
        <v>0</v>
      </c>
      <c r="W20" s="17"/>
      <c r="X20" s="17"/>
      <c r="Y20" s="90"/>
      <c r="Z20" s="17"/>
      <c r="AA20" s="90">
        <v>0</v>
      </c>
      <c r="AB20" s="10"/>
      <c r="AC20" s="10"/>
      <c r="AD20" s="10"/>
      <c r="AE20" s="10"/>
      <c r="AF20" s="10"/>
      <c r="AG20" s="17"/>
      <c r="AH20" s="17"/>
      <c r="AI20" s="17"/>
      <c r="AJ20" s="17"/>
      <c r="AK20" s="100">
        <f t="shared" si="0"/>
        <v>0</v>
      </c>
    </row>
    <row r="21" spans="2:37" x14ac:dyDescent="0.2">
      <c r="B21" s="35"/>
      <c r="C21" s="12"/>
      <c r="D21" s="37"/>
      <c r="E21" s="38"/>
      <c r="F21" s="39"/>
      <c r="G21" s="59" t="s">
        <v>95</v>
      </c>
      <c r="H21" s="60"/>
      <c r="I21" s="60">
        <f>SUM(I4:I20)</f>
        <v>16905</v>
      </c>
      <c r="J21" s="60">
        <f>SUM(J4:J20)</f>
        <v>0</v>
      </c>
      <c r="K21" s="60">
        <f>SUM(K4:K20)</f>
        <v>0</v>
      </c>
      <c r="L21" s="60">
        <f>SUM(L4:L20)</f>
        <v>0</v>
      </c>
      <c r="M21" s="60"/>
      <c r="N21" s="60"/>
      <c r="O21" s="60"/>
      <c r="P21" s="60"/>
      <c r="Q21" s="60"/>
      <c r="R21" s="60"/>
      <c r="S21" s="60">
        <f t="shared" ref="S21:AJ21" si="2">SUM(S4:S20)</f>
        <v>0</v>
      </c>
      <c r="T21" s="60">
        <f t="shared" si="2"/>
        <v>0</v>
      </c>
      <c r="U21" s="60">
        <f t="shared" si="2"/>
        <v>62000</v>
      </c>
      <c r="V21" s="60">
        <f t="shared" si="2"/>
        <v>0</v>
      </c>
      <c r="W21" s="60">
        <f t="shared" si="2"/>
        <v>0</v>
      </c>
      <c r="X21" s="60">
        <f t="shared" si="2"/>
        <v>0</v>
      </c>
      <c r="Y21" s="60">
        <f t="shared" si="2"/>
        <v>0</v>
      </c>
      <c r="Z21" s="60">
        <f t="shared" si="2"/>
        <v>0</v>
      </c>
      <c r="AA21" s="60">
        <f t="shared" si="2"/>
        <v>10800</v>
      </c>
      <c r="AB21" s="60">
        <f t="shared" si="2"/>
        <v>0</v>
      </c>
      <c r="AC21" s="60">
        <f t="shared" si="2"/>
        <v>0</v>
      </c>
      <c r="AD21" s="60">
        <f t="shared" si="2"/>
        <v>0</v>
      </c>
      <c r="AE21" s="60">
        <f t="shared" si="2"/>
        <v>0</v>
      </c>
      <c r="AF21" s="60">
        <f t="shared" si="2"/>
        <v>0</v>
      </c>
      <c r="AG21" s="60">
        <f t="shared" si="2"/>
        <v>0</v>
      </c>
      <c r="AH21" s="60">
        <f t="shared" si="2"/>
        <v>0</v>
      </c>
      <c r="AI21" s="60">
        <f t="shared" si="2"/>
        <v>0</v>
      </c>
      <c r="AJ21" s="60">
        <f t="shared" si="2"/>
        <v>0</v>
      </c>
      <c r="AK21" s="99">
        <f>SUM(AK5:AK20)</f>
        <v>89705</v>
      </c>
    </row>
    <row r="22" spans="2:37" x14ac:dyDescent="0.2">
      <c r="E22" s="22"/>
      <c r="L22" s="18"/>
      <c r="N22" s="19"/>
      <c r="P22" s="19"/>
      <c r="Q22" s="19"/>
      <c r="R22" s="19"/>
      <c r="S22" s="19"/>
      <c r="T22" s="19"/>
      <c r="Y22" s="18"/>
    </row>
    <row r="23" spans="2:37" ht="17" thickBot="1" x14ac:dyDescent="0.25">
      <c r="E23" s="13"/>
      <c r="F23" s="45" t="s">
        <v>54</v>
      </c>
      <c r="G23" s="45" t="s">
        <v>55</v>
      </c>
      <c r="H23" s="45" t="s">
        <v>56</v>
      </c>
      <c r="I23" s="45" t="s">
        <v>57</v>
      </c>
      <c r="J23" s="45" t="s">
        <v>58</v>
      </c>
      <c r="K23" s="45" t="s">
        <v>59</v>
      </c>
      <c r="L23" s="18"/>
      <c r="N23" s="19"/>
      <c r="P23" s="19"/>
      <c r="Q23" s="19"/>
      <c r="R23" s="19"/>
      <c r="S23" s="19"/>
      <c r="T23" s="19"/>
      <c r="Y23" s="18"/>
    </row>
    <row r="24" spans="2:37" ht="15.5" customHeight="1" x14ac:dyDescent="0.2">
      <c r="D24" s="124" t="s">
        <v>44</v>
      </c>
      <c r="E24" s="25" t="s">
        <v>45</v>
      </c>
      <c r="F24" s="26"/>
      <c r="G24" s="26"/>
      <c r="H24" s="26"/>
      <c r="I24" s="26"/>
      <c r="J24" s="26"/>
      <c r="K24" s="27"/>
      <c r="L24" s="18"/>
      <c r="N24" s="19"/>
      <c r="P24" s="19"/>
      <c r="Q24" s="19"/>
      <c r="R24" s="19"/>
      <c r="S24" s="19"/>
      <c r="T24" s="19"/>
      <c r="Y24" s="18"/>
    </row>
    <row r="25" spans="2:37" x14ac:dyDescent="0.2">
      <c r="D25" s="124"/>
      <c r="E25" s="6" t="s">
        <v>46</v>
      </c>
      <c r="F25" s="17">
        <f>SUM(I5:I8)</f>
        <v>0</v>
      </c>
      <c r="G25" s="17">
        <f>SUM(I9:I12)</f>
        <v>11270</v>
      </c>
      <c r="H25" s="17">
        <f>SUM(I13:I16)</f>
        <v>0</v>
      </c>
      <c r="I25" s="17">
        <f>SUM(I17:I20)</f>
        <v>5635</v>
      </c>
      <c r="J25" s="17"/>
      <c r="K25" s="28"/>
      <c r="L25" s="18">
        <f>SUM(F25:K25)</f>
        <v>16905</v>
      </c>
      <c r="N25" s="19"/>
      <c r="P25" s="19"/>
      <c r="Q25" s="19"/>
      <c r="R25" s="19"/>
      <c r="S25" s="19"/>
      <c r="T25" s="19"/>
      <c r="Y25" s="18"/>
    </row>
    <row r="26" spans="2:37" x14ac:dyDescent="0.2">
      <c r="D26" s="124"/>
      <c r="E26" s="6" t="s">
        <v>47</v>
      </c>
      <c r="F26" s="17">
        <f>SUM(J5:L8)</f>
        <v>0</v>
      </c>
      <c r="G26" s="17">
        <f>SUM(J9:L12)</f>
        <v>0</v>
      </c>
      <c r="H26" s="17">
        <f>SUM(J13:L16)</f>
        <v>0</v>
      </c>
      <c r="I26" s="17">
        <f>SUM(J17:L20)</f>
        <v>0</v>
      </c>
      <c r="J26" s="17"/>
      <c r="K26" s="28"/>
      <c r="L26" s="18">
        <f>SUM(F26:K26)</f>
        <v>0</v>
      </c>
      <c r="N26" s="19"/>
      <c r="P26" s="19"/>
      <c r="Q26" s="19"/>
      <c r="R26" s="19"/>
      <c r="S26" s="19"/>
      <c r="T26" s="19"/>
      <c r="Y26" s="18"/>
    </row>
    <row r="27" spans="2:37" x14ac:dyDescent="0.2">
      <c r="D27" s="124"/>
      <c r="E27" s="4" t="s">
        <v>18</v>
      </c>
      <c r="F27" s="17"/>
      <c r="G27" s="17"/>
      <c r="H27" s="17"/>
      <c r="I27" s="17"/>
      <c r="J27" s="17"/>
      <c r="K27" s="28"/>
      <c r="L27" s="18"/>
      <c r="N27" s="19"/>
      <c r="P27" s="19"/>
      <c r="Q27" s="19"/>
      <c r="R27" s="19"/>
      <c r="S27" s="19"/>
      <c r="T27" s="19"/>
      <c r="Y27" s="18"/>
    </row>
    <row r="28" spans="2:37" x14ac:dyDescent="0.2">
      <c r="D28" s="124"/>
      <c r="E28" s="6" t="s">
        <v>52</v>
      </c>
      <c r="F28" s="17">
        <f>SUM(T5:T8)</f>
        <v>0</v>
      </c>
      <c r="G28" s="17">
        <f>SUM(T9:T12)</f>
        <v>0</v>
      </c>
      <c r="H28" s="17">
        <f>SUM(T13:T16)</f>
        <v>0</v>
      </c>
      <c r="I28" s="17">
        <f>SUM(T17:T20)</f>
        <v>0</v>
      </c>
      <c r="J28" s="17"/>
      <c r="K28" s="28"/>
      <c r="L28" s="18">
        <f t="shared" ref="L28:L46" si="3">SUM(F28:K28)</f>
        <v>0</v>
      </c>
      <c r="Y28" s="18"/>
      <c r="AA28" s="18"/>
      <c r="AB28" s="18"/>
      <c r="AC28" s="18"/>
      <c r="AD28" s="18"/>
      <c r="AE28" s="18"/>
      <c r="AF28" s="18"/>
    </row>
    <row r="29" spans="2:37" x14ac:dyDescent="0.2">
      <c r="D29" s="124"/>
      <c r="E29" s="6" t="s">
        <v>17</v>
      </c>
      <c r="F29" s="17"/>
      <c r="G29" s="17"/>
      <c r="H29" s="17"/>
      <c r="I29" s="17"/>
      <c r="J29" s="17"/>
      <c r="K29" s="28"/>
      <c r="L29" s="18">
        <f t="shared" si="3"/>
        <v>0</v>
      </c>
      <c r="Y29" s="18"/>
      <c r="AA29" s="18"/>
      <c r="AB29" s="18"/>
      <c r="AC29" s="18"/>
      <c r="AD29" s="18"/>
      <c r="AE29" s="18"/>
      <c r="AF29" s="18"/>
    </row>
    <row r="30" spans="2:37" x14ac:dyDescent="0.2">
      <c r="D30" s="124"/>
      <c r="E30" s="4" t="s">
        <v>97</v>
      </c>
      <c r="F30" s="17">
        <f>SUM(U5:U8)</f>
        <v>0</v>
      </c>
      <c r="G30" s="17">
        <f>SUM(U9:U12)</f>
        <v>46000</v>
      </c>
      <c r="H30" s="17">
        <f>SUM(U13:U16)</f>
        <v>0</v>
      </c>
      <c r="I30" s="17">
        <f>SUM(U17:U20)</f>
        <v>16000</v>
      </c>
      <c r="J30" s="17"/>
      <c r="K30" s="28"/>
      <c r="L30" s="18">
        <f t="shared" si="3"/>
        <v>62000</v>
      </c>
      <c r="N30" s="19"/>
      <c r="Y30" s="18"/>
      <c r="AA30" s="18"/>
      <c r="AB30" s="18"/>
      <c r="AC30" s="18"/>
      <c r="AD30" s="18"/>
      <c r="AE30" s="18"/>
      <c r="AF30" s="18"/>
    </row>
    <row r="31" spans="2:37" x14ac:dyDescent="0.2">
      <c r="D31" s="124"/>
      <c r="E31" s="47" t="s">
        <v>101</v>
      </c>
      <c r="F31" s="17">
        <f>SUM(V5:V8)</f>
        <v>0</v>
      </c>
      <c r="G31" s="17">
        <f>SUM(V9:V12)</f>
        <v>0</v>
      </c>
      <c r="H31" s="17">
        <f>SUM(V13:V16)</f>
        <v>0</v>
      </c>
      <c r="I31" s="17">
        <f>SUM(V17:V20)</f>
        <v>0</v>
      </c>
      <c r="J31" s="17"/>
      <c r="K31" s="28"/>
      <c r="L31" s="18">
        <f t="shared" si="3"/>
        <v>0</v>
      </c>
      <c r="N31" s="19"/>
      <c r="Y31" s="18"/>
      <c r="AA31" s="18"/>
      <c r="AB31" s="18"/>
      <c r="AC31" s="18"/>
      <c r="AD31" s="18"/>
      <c r="AE31" s="18"/>
      <c r="AF31" s="18"/>
    </row>
    <row r="32" spans="2:37" x14ac:dyDescent="0.2">
      <c r="D32" s="124"/>
      <c r="E32" s="4" t="s">
        <v>20</v>
      </c>
      <c r="F32" s="17"/>
      <c r="G32" s="17"/>
      <c r="H32" s="17"/>
      <c r="I32" s="17"/>
      <c r="J32" s="17"/>
      <c r="K32" s="28"/>
      <c r="L32" s="18">
        <f t="shared" si="3"/>
        <v>0</v>
      </c>
    </row>
    <row r="33" spans="1:37" s="7" customFormat="1" ht="17" thickBot="1" x14ac:dyDescent="0.25">
      <c r="A33" s="21"/>
      <c r="B33" s="21"/>
      <c r="C33" s="21"/>
      <c r="D33" s="125"/>
      <c r="E33" s="29" t="s">
        <v>21</v>
      </c>
      <c r="F33" s="30"/>
      <c r="G33" s="30"/>
      <c r="H33" s="30"/>
      <c r="I33" s="30"/>
      <c r="J33" s="30"/>
      <c r="K33" s="31"/>
      <c r="L33" s="18">
        <f t="shared" si="3"/>
        <v>0</v>
      </c>
      <c r="N33" s="19"/>
      <c r="AK33" s="21"/>
    </row>
    <row r="34" spans="1:37" s="7" customFormat="1" x14ac:dyDescent="0.2">
      <c r="A34" s="21"/>
      <c r="B34" s="21"/>
      <c r="C34" s="21"/>
      <c r="D34" s="126" t="s">
        <v>87</v>
      </c>
      <c r="E34" s="46" t="s">
        <v>45</v>
      </c>
      <c r="F34" s="61">
        <f>SUM(Y5:Y8)</f>
        <v>0</v>
      </c>
      <c r="G34" s="61">
        <f>SUM(Y9:Y12)</f>
        <v>0</v>
      </c>
      <c r="H34" s="61">
        <f>SUM(Y13:Y16)</f>
        <v>0</v>
      </c>
      <c r="I34" s="61">
        <f>SUM(Y17:Y20)</f>
        <v>0</v>
      </c>
      <c r="J34" s="61"/>
      <c r="K34" s="62"/>
      <c r="L34" s="18">
        <f t="shared" si="3"/>
        <v>0</v>
      </c>
      <c r="AK34" s="21"/>
    </row>
    <row r="35" spans="1:37" s="7" customFormat="1" x14ac:dyDescent="0.2">
      <c r="A35" s="21"/>
      <c r="B35" s="21"/>
      <c r="C35" s="21"/>
      <c r="D35" s="126"/>
      <c r="E35" s="47" t="s">
        <v>27</v>
      </c>
      <c r="F35" s="17"/>
      <c r="G35" s="17"/>
      <c r="H35" s="17"/>
      <c r="I35" s="17"/>
      <c r="J35" s="17"/>
      <c r="K35" s="28"/>
      <c r="L35" s="18">
        <f t="shared" si="3"/>
        <v>0</v>
      </c>
      <c r="AK35" s="21"/>
    </row>
    <row r="36" spans="1:37" s="7" customFormat="1" ht="17" x14ac:dyDescent="0.2">
      <c r="A36" s="21"/>
      <c r="B36" s="21"/>
      <c r="C36" s="21"/>
      <c r="D36" s="126"/>
      <c r="E36" s="48" t="s">
        <v>5</v>
      </c>
      <c r="F36" s="95">
        <f>SUM(AA5:AA8)</f>
        <v>5400</v>
      </c>
      <c r="G36" s="17">
        <f>SUM(AA9:AA12)</f>
        <v>0</v>
      </c>
      <c r="H36" s="17">
        <f>SUM(AA13:AA16)</f>
        <v>5400</v>
      </c>
      <c r="I36" s="17">
        <f>SUM(AA17:AA20)</f>
        <v>0</v>
      </c>
      <c r="J36" s="8"/>
      <c r="K36" s="63"/>
      <c r="L36" s="18">
        <f t="shared" si="3"/>
        <v>10800</v>
      </c>
      <c r="AK36" s="21"/>
    </row>
    <row r="37" spans="1:37" s="7" customFormat="1" ht="17" x14ac:dyDescent="0.2">
      <c r="A37" s="21"/>
      <c r="B37" s="21"/>
      <c r="C37" s="21"/>
      <c r="D37" s="126"/>
      <c r="E37" s="48" t="s">
        <v>93</v>
      </c>
      <c r="F37" s="23"/>
      <c r="G37" s="8"/>
      <c r="H37" s="8"/>
      <c r="I37" s="8"/>
      <c r="J37" s="8"/>
      <c r="K37" s="63"/>
      <c r="L37" s="18">
        <f t="shared" si="3"/>
        <v>0</v>
      </c>
      <c r="AK37" s="21"/>
    </row>
    <row r="38" spans="1:37" s="7" customFormat="1" ht="17" x14ac:dyDescent="0.2">
      <c r="A38" s="21"/>
      <c r="B38" s="21"/>
      <c r="C38" s="21"/>
      <c r="D38" s="126"/>
      <c r="E38" s="48" t="s">
        <v>92</v>
      </c>
      <c r="F38" s="23"/>
      <c r="G38" s="8"/>
      <c r="H38" s="8"/>
      <c r="I38" s="8"/>
      <c r="J38" s="8"/>
      <c r="K38" s="63"/>
      <c r="L38" s="18">
        <f t="shared" si="3"/>
        <v>0</v>
      </c>
      <c r="AK38" s="21"/>
    </row>
    <row r="39" spans="1:37" s="7" customFormat="1" ht="17" x14ac:dyDescent="0.2">
      <c r="A39" s="21"/>
      <c r="B39" s="21"/>
      <c r="C39" s="21"/>
      <c r="D39" s="126"/>
      <c r="E39" s="48" t="s">
        <v>91</v>
      </c>
      <c r="F39" s="23"/>
      <c r="G39" s="8"/>
      <c r="H39" s="8"/>
      <c r="I39" s="8"/>
      <c r="J39" s="8"/>
      <c r="K39" s="63"/>
      <c r="L39" s="18">
        <f t="shared" si="3"/>
        <v>0</v>
      </c>
      <c r="AK39" s="21"/>
    </row>
    <row r="40" spans="1:37" s="7" customFormat="1" ht="17" x14ac:dyDescent="0.2">
      <c r="A40" s="21"/>
      <c r="B40" s="21"/>
      <c r="C40" s="21"/>
      <c r="D40" s="126"/>
      <c r="E40" s="48" t="s">
        <v>25</v>
      </c>
      <c r="F40" s="95">
        <f>SUM(AE5:AE8)</f>
        <v>0</v>
      </c>
      <c r="G40" s="17">
        <f>SUM(AE9:AE12)</f>
        <v>0</v>
      </c>
      <c r="H40" s="96">
        <f>SUM(AE13:AE16)</f>
        <v>0</v>
      </c>
      <c r="I40" s="96">
        <f>SUM(AE17:AE20)</f>
        <v>0</v>
      </c>
      <c r="J40" s="8"/>
      <c r="K40" s="63"/>
      <c r="L40" s="18">
        <f t="shared" si="3"/>
        <v>0</v>
      </c>
      <c r="AK40" s="21"/>
    </row>
    <row r="41" spans="1:37" s="7" customFormat="1" ht="17" x14ac:dyDescent="0.2">
      <c r="A41" s="21"/>
      <c r="B41" s="21"/>
      <c r="C41" s="21"/>
      <c r="D41" s="126"/>
      <c r="E41" s="48" t="s">
        <v>90</v>
      </c>
      <c r="F41" s="23"/>
      <c r="G41" s="8"/>
      <c r="H41" s="8"/>
      <c r="I41" s="8"/>
      <c r="J41" s="8"/>
      <c r="K41" s="63"/>
      <c r="L41" s="18">
        <f t="shared" si="3"/>
        <v>0</v>
      </c>
      <c r="AK41" s="21"/>
    </row>
    <row r="42" spans="1:37" s="7" customFormat="1" ht="17" x14ac:dyDescent="0.2">
      <c r="A42" s="21"/>
      <c r="B42" s="21"/>
      <c r="C42" s="21"/>
      <c r="D42" s="126"/>
      <c r="E42" s="48" t="s">
        <v>89</v>
      </c>
      <c r="F42" s="23"/>
      <c r="G42" s="8"/>
      <c r="H42" s="8"/>
      <c r="I42" s="8"/>
      <c r="J42" s="8"/>
      <c r="K42" s="63"/>
      <c r="L42" s="18">
        <f t="shared" si="3"/>
        <v>0</v>
      </c>
      <c r="AK42" s="21"/>
    </row>
    <row r="43" spans="1:37" s="7" customFormat="1" ht="17" x14ac:dyDescent="0.2">
      <c r="A43" s="21"/>
      <c r="B43" s="21"/>
      <c r="C43" s="21"/>
      <c r="D43" s="126"/>
      <c r="E43" s="48" t="s">
        <v>23</v>
      </c>
      <c r="F43" s="23"/>
      <c r="G43" s="8"/>
      <c r="H43" s="8"/>
      <c r="I43" s="8"/>
      <c r="J43" s="8"/>
      <c r="K43" s="63"/>
      <c r="L43" s="18">
        <f t="shared" si="3"/>
        <v>0</v>
      </c>
      <c r="AK43" s="21"/>
    </row>
    <row r="44" spans="1:37" s="7" customFormat="1" ht="17" x14ac:dyDescent="0.2">
      <c r="A44" s="21"/>
      <c r="B44" s="21"/>
      <c r="C44" s="21"/>
      <c r="D44" s="126"/>
      <c r="E44" s="48" t="s">
        <v>24</v>
      </c>
      <c r="F44" s="95">
        <f>SUM(AI5:AI8)</f>
        <v>0</v>
      </c>
      <c r="G44" s="17">
        <f>SUM(AI9:AI12)</f>
        <v>0</v>
      </c>
      <c r="H44" s="17">
        <f>SUM(AI13:AI16)</f>
        <v>0</v>
      </c>
      <c r="I44" s="17">
        <f>SUM(AI17:AI20)</f>
        <v>0</v>
      </c>
      <c r="J44" s="8"/>
      <c r="K44" s="63"/>
      <c r="L44" s="18">
        <f t="shared" si="3"/>
        <v>0</v>
      </c>
      <c r="AK44" s="21"/>
    </row>
    <row r="45" spans="1:37" s="7" customFormat="1" ht="18" thickBot="1" x14ac:dyDescent="0.25">
      <c r="A45" s="21"/>
      <c r="B45" s="21"/>
      <c r="C45" s="21"/>
      <c r="D45" s="126"/>
      <c r="E45" s="49" t="s">
        <v>88</v>
      </c>
      <c r="F45" s="97">
        <f>SUM(AJ5:AJ8)</f>
        <v>0</v>
      </c>
      <c r="G45" s="30">
        <f>SUM(AJ9:AJ12)</f>
        <v>0</v>
      </c>
      <c r="H45" s="30">
        <f>SUM(AJ13:AJ16)</f>
        <v>0</v>
      </c>
      <c r="I45" s="30">
        <f>SUM(AJ17:AJ20)</f>
        <v>0</v>
      </c>
      <c r="J45" s="64"/>
      <c r="K45" s="65"/>
      <c r="L45" s="18">
        <f t="shared" si="3"/>
        <v>0</v>
      </c>
      <c r="AK45" s="21"/>
    </row>
    <row r="46" spans="1:37" s="7" customFormat="1" x14ac:dyDescent="0.2">
      <c r="A46" s="21"/>
      <c r="B46" s="21"/>
      <c r="C46" s="21"/>
      <c r="D46" s="21"/>
      <c r="E46" s="68" t="s">
        <v>98</v>
      </c>
      <c r="F46" s="69">
        <f t="shared" ref="F46:K46" si="4">SUM(F24:F45)</f>
        <v>5400</v>
      </c>
      <c r="G46" s="69">
        <f t="shared" si="4"/>
        <v>57270</v>
      </c>
      <c r="H46" s="69">
        <f t="shared" si="4"/>
        <v>5400</v>
      </c>
      <c r="I46" s="69">
        <f t="shared" si="4"/>
        <v>21635</v>
      </c>
      <c r="J46" s="69">
        <f t="shared" si="4"/>
        <v>0</v>
      </c>
      <c r="K46" s="69">
        <f t="shared" si="4"/>
        <v>0</v>
      </c>
      <c r="L46" s="18">
        <f t="shared" si="3"/>
        <v>89705</v>
      </c>
      <c r="AK46" s="21"/>
    </row>
  </sheetData>
  <mergeCells count="17">
    <mergeCell ref="H2:X2"/>
    <mergeCell ref="Y2:AJ2"/>
    <mergeCell ref="C3:C4"/>
    <mergeCell ref="D3:D4"/>
    <mergeCell ref="E3:E4"/>
    <mergeCell ref="F3:F4"/>
    <mergeCell ref="G3:G4"/>
    <mergeCell ref="H3:L3"/>
    <mergeCell ref="M3:T3"/>
    <mergeCell ref="U3:X3"/>
    <mergeCell ref="D24:D33"/>
    <mergeCell ref="D34:D45"/>
    <mergeCell ref="AB3:AJ3"/>
    <mergeCell ref="B5:B8"/>
    <mergeCell ref="B9:B12"/>
    <mergeCell ref="B13:B16"/>
    <mergeCell ref="B17:B20"/>
  </mergeCells>
  <pageMargins left="0.7" right="0.7" top="0.75" bottom="0.75" header="0.3" footer="0.3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3A93B-7DF2-443D-8195-9BE37E790E3C}">
  <sheetPr>
    <tabColor theme="7" tint="0.59999389629810485"/>
  </sheetPr>
  <dimension ref="A2:AK45"/>
  <sheetViews>
    <sheetView showGridLines="0" topLeftCell="V1" zoomScale="80" zoomScaleNormal="80" workbookViewId="0">
      <selection activeCell="AA16" sqref="AA16"/>
    </sheetView>
  </sheetViews>
  <sheetFormatPr baseColWidth="10" defaultColWidth="13.83203125" defaultRowHeight="16" x14ac:dyDescent="0.2"/>
  <cols>
    <col min="1" max="1" width="3.6640625" style="21" customWidth="1"/>
    <col min="2" max="4" width="13.83203125" style="21"/>
    <col min="5" max="5" width="33.83203125" style="21" customWidth="1"/>
    <col min="6" max="6" width="13.83203125" style="21"/>
    <col min="7" max="7" width="17.6640625" style="7" bestFit="1" customWidth="1"/>
    <col min="8" max="8" width="14" style="7" customWidth="1"/>
    <col min="9" max="9" width="16.33203125" style="7" customWidth="1"/>
    <col min="10" max="11" width="14.33203125" style="7" customWidth="1"/>
    <col min="12" max="12" width="16" style="7" customWidth="1"/>
    <col min="13" max="13" width="12.6640625" style="7" customWidth="1"/>
    <col min="14" max="18" width="14.33203125" style="7" customWidth="1"/>
    <col min="19" max="19" width="15.6640625" style="7" customWidth="1"/>
    <col min="20" max="20" width="14.33203125" style="7" customWidth="1"/>
    <col min="21" max="23" width="11.5" style="7" customWidth="1"/>
    <col min="24" max="24" width="13.83203125" style="7" customWidth="1"/>
    <col min="25" max="25" width="17.1640625" style="7" customWidth="1"/>
    <col min="26" max="26" width="12.33203125" style="7" customWidth="1"/>
    <col min="27" max="27" width="14.5" style="7" bestFit="1" customWidth="1"/>
    <col min="28" max="36" width="14.5" style="7" customWidth="1"/>
    <col min="37" max="37" width="13.83203125" style="21"/>
    <col min="38" max="38" width="10.1640625" style="21" customWidth="1"/>
    <col min="39" max="16384" width="13.83203125" style="21"/>
  </cols>
  <sheetData>
    <row r="2" spans="2:37" ht="24" x14ac:dyDescent="0.3">
      <c r="C2" s="11"/>
      <c r="D2" s="11"/>
      <c r="E2" s="7"/>
      <c r="F2" s="7"/>
      <c r="H2" s="129" t="s">
        <v>50</v>
      </c>
      <c r="I2" s="129"/>
      <c r="J2" s="129"/>
      <c r="K2" s="129"/>
      <c r="L2" s="129"/>
      <c r="M2" s="129"/>
      <c r="N2" s="129"/>
      <c r="O2" s="129"/>
      <c r="P2" s="129"/>
      <c r="Q2" s="129"/>
      <c r="R2" s="129"/>
      <c r="S2" s="129"/>
      <c r="T2" s="129"/>
      <c r="U2" s="129"/>
      <c r="V2" s="129"/>
      <c r="W2" s="129"/>
      <c r="X2" s="129"/>
      <c r="Y2" s="130"/>
      <c r="Z2" s="130"/>
      <c r="AA2" s="130"/>
      <c r="AB2" s="130"/>
      <c r="AC2" s="130"/>
      <c r="AD2" s="130"/>
      <c r="AE2" s="130"/>
      <c r="AF2" s="130"/>
      <c r="AG2" s="130"/>
      <c r="AH2" s="130"/>
      <c r="AI2" s="130"/>
      <c r="AJ2" s="130"/>
    </row>
    <row r="3" spans="2:37" ht="21" x14ac:dyDescent="0.25">
      <c r="C3" s="131" t="s">
        <v>53</v>
      </c>
      <c r="D3" s="133" t="s">
        <v>48</v>
      </c>
      <c r="E3" s="135" t="s">
        <v>2</v>
      </c>
      <c r="F3" s="135" t="s">
        <v>3</v>
      </c>
      <c r="G3" s="137" t="s">
        <v>4</v>
      </c>
      <c r="H3" s="139" t="s">
        <v>60</v>
      </c>
      <c r="I3" s="140"/>
      <c r="J3" s="140"/>
      <c r="K3" s="140"/>
      <c r="L3" s="141"/>
      <c r="M3" s="139" t="s">
        <v>1</v>
      </c>
      <c r="N3" s="140"/>
      <c r="O3" s="140"/>
      <c r="P3" s="140"/>
      <c r="Q3" s="140"/>
      <c r="R3" s="140"/>
      <c r="S3" s="140"/>
      <c r="T3" s="141"/>
      <c r="U3" s="139" t="s">
        <v>85</v>
      </c>
      <c r="V3" s="140"/>
      <c r="W3" s="140"/>
      <c r="X3" s="141"/>
      <c r="Y3" s="44" t="s">
        <v>0</v>
      </c>
      <c r="Z3" s="44" t="s">
        <v>83</v>
      </c>
      <c r="AA3" s="44" t="s">
        <v>86</v>
      </c>
      <c r="AB3" s="127"/>
      <c r="AC3" s="127"/>
      <c r="AD3" s="127"/>
      <c r="AE3" s="127"/>
      <c r="AF3" s="127"/>
      <c r="AG3" s="127"/>
      <c r="AH3" s="127"/>
      <c r="AI3" s="127"/>
      <c r="AJ3" s="127"/>
    </row>
    <row r="4" spans="2:37" ht="64" x14ac:dyDescent="0.2">
      <c r="C4" s="132"/>
      <c r="D4" s="134"/>
      <c r="E4" s="136"/>
      <c r="F4" s="136"/>
      <c r="G4" s="138"/>
      <c r="H4" s="67" t="s">
        <v>99</v>
      </c>
      <c r="I4" s="43" t="s">
        <v>52</v>
      </c>
      <c r="J4" s="43" t="s">
        <v>61</v>
      </c>
      <c r="K4" s="43" t="s">
        <v>62</v>
      </c>
      <c r="L4" s="43" t="s">
        <v>63</v>
      </c>
      <c r="M4" s="67" t="s">
        <v>11</v>
      </c>
      <c r="N4" s="67" t="s">
        <v>12</v>
      </c>
      <c r="O4" s="67" t="s">
        <v>13</v>
      </c>
      <c r="P4" s="67" t="s">
        <v>14</v>
      </c>
      <c r="Q4" s="67" t="s">
        <v>15</v>
      </c>
      <c r="R4" s="67" t="s">
        <v>16</v>
      </c>
      <c r="S4" s="43" t="s">
        <v>17</v>
      </c>
      <c r="T4" s="43" t="s">
        <v>18</v>
      </c>
      <c r="U4" s="43" t="s">
        <v>19</v>
      </c>
      <c r="V4" s="43" t="s">
        <v>100</v>
      </c>
      <c r="W4" s="43" t="s">
        <v>20</v>
      </c>
      <c r="X4" s="43" t="s">
        <v>21</v>
      </c>
      <c r="Y4" s="43" t="s">
        <v>10</v>
      </c>
      <c r="Z4" s="43" t="s">
        <v>27</v>
      </c>
      <c r="AA4" s="43" t="s">
        <v>5</v>
      </c>
      <c r="AB4" s="43" t="s">
        <v>6</v>
      </c>
      <c r="AC4" s="43" t="s">
        <v>7</v>
      </c>
      <c r="AD4" s="43" t="s">
        <v>8</v>
      </c>
      <c r="AE4" s="43" t="s">
        <v>25</v>
      </c>
      <c r="AF4" s="43" t="s">
        <v>9</v>
      </c>
      <c r="AG4" s="43" t="s">
        <v>22</v>
      </c>
      <c r="AH4" s="43" t="s">
        <v>23</v>
      </c>
      <c r="AI4" s="43" t="s">
        <v>24</v>
      </c>
      <c r="AJ4" s="43" t="s">
        <v>26</v>
      </c>
      <c r="AK4" s="101" t="s">
        <v>96</v>
      </c>
    </row>
    <row r="5" spans="2:37" x14ac:dyDescent="0.2">
      <c r="B5" s="128" t="s">
        <v>64</v>
      </c>
      <c r="C5" s="51" t="s">
        <v>82</v>
      </c>
      <c r="D5" s="77">
        <v>1</v>
      </c>
      <c r="E5" s="78" t="s">
        <v>40</v>
      </c>
      <c r="F5" s="70" t="s">
        <v>30</v>
      </c>
      <c r="G5" s="55"/>
      <c r="H5" s="55"/>
      <c r="I5" s="55"/>
      <c r="J5" s="55"/>
      <c r="K5" s="86"/>
      <c r="L5" s="55"/>
      <c r="M5" s="55"/>
      <c r="N5" s="55"/>
      <c r="O5" s="55"/>
      <c r="P5" s="55"/>
      <c r="Q5" s="55"/>
      <c r="R5" s="55"/>
      <c r="S5" s="89"/>
      <c r="T5" s="55"/>
      <c r="U5" s="55"/>
      <c r="V5" s="55"/>
      <c r="W5" s="55"/>
      <c r="X5" s="55"/>
      <c r="Y5" s="86">
        <v>0</v>
      </c>
      <c r="Z5" s="55"/>
      <c r="AA5" s="86">
        <v>0</v>
      </c>
      <c r="AB5" s="55"/>
      <c r="AC5" s="55"/>
      <c r="AD5" s="55"/>
      <c r="AE5" s="86">
        <v>0</v>
      </c>
      <c r="AF5" s="55"/>
      <c r="AG5" s="55"/>
      <c r="AH5" s="55"/>
      <c r="AI5" s="86">
        <v>0</v>
      </c>
      <c r="AJ5" s="41">
        <v>0</v>
      </c>
      <c r="AK5" s="100">
        <f t="shared" ref="AK5:AK16" si="0">SUM(S5:AJ5)+SUM(I5:L5)</f>
        <v>0</v>
      </c>
    </row>
    <row r="6" spans="2:37" x14ac:dyDescent="0.2">
      <c r="B6" s="128"/>
      <c r="C6" s="34" t="s">
        <v>68</v>
      </c>
      <c r="D6" s="72">
        <v>2</v>
      </c>
      <c r="E6" s="73" t="s">
        <v>118</v>
      </c>
      <c r="F6" s="74" t="s">
        <v>29</v>
      </c>
      <c r="G6" s="33"/>
      <c r="H6" s="17"/>
      <c r="I6" s="17">
        <f>I5*G6</f>
        <v>0</v>
      </c>
      <c r="J6" s="17"/>
      <c r="K6" s="90">
        <v>0</v>
      </c>
      <c r="L6" s="17"/>
      <c r="M6" s="33"/>
      <c r="N6" s="33"/>
      <c r="O6" s="24"/>
      <c r="P6" s="24"/>
      <c r="Q6" s="24"/>
      <c r="R6" s="17">
        <f>O6*0.045</f>
        <v>0</v>
      </c>
      <c r="S6" s="20"/>
      <c r="T6" s="90">
        <f t="shared" ref="T6:T16" si="1">SUM(O6:R6)*M6*N6</f>
        <v>0</v>
      </c>
      <c r="U6" s="17"/>
      <c r="V6" s="24">
        <v>0</v>
      </c>
      <c r="W6" s="17"/>
      <c r="X6" s="17"/>
      <c r="Y6" s="90"/>
      <c r="Z6" s="17"/>
      <c r="AA6" s="90">
        <v>0</v>
      </c>
      <c r="AB6" s="10"/>
      <c r="AC6" s="10"/>
      <c r="AD6" s="10"/>
      <c r="AE6" s="10"/>
      <c r="AF6" s="10"/>
      <c r="AG6" s="17"/>
      <c r="AH6" s="17"/>
      <c r="AI6" s="17"/>
      <c r="AJ6" s="17"/>
      <c r="AK6" s="100">
        <f t="shared" si="0"/>
        <v>0</v>
      </c>
    </row>
    <row r="7" spans="2:37" x14ac:dyDescent="0.2">
      <c r="B7" s="128"/>
      <c r="C7" s="15" t="s">
        <v>69</v>
      </c>
      <c r="D7" s="75">
        <v>3</v>
      </c>
      <c r="E7" s="73" t="s">
        <v>117</v>
      </c>
      <c r="F7" s="74" t="s">
        <v>29</v>
      </c>
      <c r="G7" s="33"/>
      <c r="H7" s="17"/>
      <c r="I7" s="17">
        <f>I6*G7</f>
        <v>0</v>
      </c>
      <c r="J7" s="17"/>
      <c r="K7" s="90">
        <v>0</v>
      </c>
      <c r="L7" s="17"/>
      <c r="M7" s="33"/>
      <c r="N7" s="33"/>
      <c r="O7" s="24"/>
      <c r="P7" s="24"/>
      <c r="Q7" s="24"/>
      <c r="R7" s="17">
        <f>O7*0.045</f>
        <v>0</v>
      </c>
      <c r="S7" s="20"/>
      <c r="T7" s="90">
        <f t="shared" si="1"/>
        <v>0</v>
      </c>
      <c r="U7" s="17"/>
      <c r="V7" s="24">
        <v>0</v>
      </c>
      <c r="W7" s="17"/>
      <c r="X7" s="17"/>
      <c r="Y7" s="90"/>
      <c r="Z7" s="17"/>
      <c r="AA7" s="90">
        <v>0</v>
      </c>
      <c r="AB7" s="10"/>
      <c r="AC7" s="10"/>
      <c r="AD7" s="10"/>
      <c r="AE7" s="10"/>
      <c r="AF7" s="10"/>
      <c r="AG7" s="17"/>
      <c r="AH7" s="17"/>
      <c r="AI7" s="17"/>
      <c r="AJ7" s="17"/>
      <c r="AK7" s="100">
        <f t="shared" si="0"/>
        <v>0</v>
      </c>
    </row>
    <row r="8" spans="2:37" x14ac:dyDescent="0.2">
      <c r="B8" s="128"/>
      <c r="C8" s="55" t="s">
        <v>94</v>
      </c>
      <c r="D8" s="77">
        <v>4</v>
      </c>
      <c r="E8" s="79" t="s">
        <v>103</v>
      </c>
      <c r="F8" s="80" t="s">
        <v>30</v>
      </c>
      <c r="G8" s="55"/>
      <c r="H8" s="57"/>
      <c r="I8" s="57"/>
      <c r="J8" s="57"/>
      <c r="K8" s="86"/>
      <c r="L8" s="57"/>
      <c r="M8" s="55"/>
      <c r="N8" s="55"/>
      <c r="O8" s="57"/>
      <c r="P8" s="57"/>
      <c r="Q8" s="57"/>
      <c r="R8" s="57"/>
      <c r="S8" s="82"/>
      <c r="T8" s="57">
        <f t="shared" si="1"/>
        <v>0</v>
      </c>
      <c r="U8" s="57"/>
      <c r="V8" s="57"/>
      <c r="W8" s="57"/>
      <c r="X8" s="57"/>
      <c r="Y8" s="86"/>
      <c r="Z8" s="57"/>
      <c r="AA8" s="86">
        <v>3200</v>
      </c>
      <c r="AB8" s="58"/>
      <c r="AC8" s="58"/>
      <c r="AD8" s="58"/>
      <c r="AE8" s="86">
        <v>0</v>
      </c>
      <c r="AF8" s="58"/>
      <c r="AG8" s="57"/>
      <c r="AH8" s="57"/>
      <c r="AI8" s="86">
        <v>0</v>
      </c>
      <c r="AJ8" s="41">
        <v>0</v>
      </c>
      <c r="AK8" s="100">
        <f t="shared" si="0"/>
        <v>3200</v>
      </c>
    </row>
    <row r="9" spans="2:37" x14ac:dyDescent="0.2">
      <c r="B9" s="128" t="s">
        <v>65</v>
      </c>
      <c r="C9" s="51" t="s">
        <v>81</v>
      </c>
      <c r="D9" s="77">
        <v>5</v>
      </c>
      <c r="E9" s="79" t="s">
        <v>115</v>
      </c>
      <c r="F9" s="80" t="s">
        <v>30</v>
      </c>
      <c r="G9" s="55"/>
      <c r="H9" s="57"/>
      <c r="I9" s="57"/>
      <c r="J9" s="57"/>
      <c r="K9" s="86"/>
      <c r="L9" s="57"/>
      <c r="M9" s="55"/>
      <c r="N9" s="55"/>
      <c r="O9" s="57"/>
      <c r="P9" s="57"/>
      <c r="Q9" s="57"/>
      <c r="R9" s="57"/>
      <c r="S9" s="82"/>
      <c r="T9" s="57">
        <f t="shared" si="1"/>
        <v>0</v>
      </c>
      <c r="U9" s="57"/>
      <c r="V9" s="57"/>
      <c r="W9" s="57"/>
      <c r="X9" s="57"/>
      <c r="Y9" s="86"/>
      <c r="Z9" s="57"/>
      <c r="AA9" s="86">
        <v>0</v>
      </c>
      <c r="AB9" s="58"/>
      <c r="AC9" s="58"/>
      <c r="AD9" s="58"/>
      <c r="AE9" s="86">
        <v>0</v>
      </c>
      <c r="AF9" s="58"/>
      <c r="AG9" s="57"/>
      <c r="AH9" s="57"/>
      <c r="AI9" s="86">
        <v>0</v>
      </c>
      <c r="AJ9" s="41">
        <v>0</v>
      </c>
      <c r="AK9" s="100">
        <f t="shared" si="0"/>
        <v>0</v>
      </c>
    </row>
    <row r="10" spans="2:37" x14ac:dyDescent="0.2">
      <c r="B10" s="128"/>
      <c r="C10" s="15" t="s">
        <v>70</v>
      </c>
      <c r="D10" s="75">
        <v>6</v>
      </c>
      <c r="E10" s="73" t="s">
        <v>105</v>
      </c>
      <c r="F10" s="74" t="s">
        <v>29</v>
      </c>
      <c r="G10" s="33"/>
      <c r="H10" s="17"/>
      <c r="I10" s="17">
        <f>I9*G10</f>
        <v>0</v>
      </c>
      <c r="J10" s="17"/>
      <c r="K10" s="90">
        <v>0</v>
      </c>
      <c r="L10" s="17"/>
      <c r="M10" s="33"/>
      <c r="N10" s="33"/>
      <c r="O10" s="24"/>
      <c r="P10" s="24"/>
      <c r="Q10" s="24"/>
      <c r="R10" s="17">
        <f>O10*0.045</f>
        <v>0</v>
      </c>
      <c r="S10" s="20"/>
      <c r="T10" s="90">
        <f t="shared" si="1"/>
        <v>0</v>
      </c>
      <c r="U10" s="17"/>
      <c r="V10" s="24">
        <v>0</v>
      </c>
      <c r="W10" s="17"/>
      <c r="X10" s="17"/>
      <c r="Y10" s="90"/>
      <c r="Z10" s="17"/>
      <c r="AA10" s="90">
        <v>0</v>
      </c>
      <c r="AB10" s="10"/>
      <c r="AC10" s="10"/>
      <c r="AD10" s="10"/>
      <c r="AE10" s="10"/>
      <c r="AF10" s="10"/>
      <c r="AG10" s="17"/>
      <c r="AH10" s="17"/>
      <c r="AI10" s="17"/>
      <c r="AJ10" s="17"/>
      <c r="AK10" s="100">
        <f t="shared" si="0"/>
        <v>0</v>
      </c>
    </row>
    <row r="11" spans="2:37" x14ac:dyDescent="0.2">
      <c r="B11" s="128"/>
      <c r="C11" s="15" t="s">
        <v>71</v>
      </c>
      <c r="D11" s="75">
        <v>7</v>
      </c>
      <c r="E11" s="73" t="s">
        <v>114</v>
      </c>
      <c r="F11" s="74" t="s">
        <v>29</v>
      </c>
      <c r="G11" s="33"/>
      <c r="H11" s="17"/>
      <c r="I11" s="17">
        <f>I10*G11</f>
        <v>0</v>
      </c>
      <c r="J11" s="17"/>
      <c r="K11" s="90">
        <v>0</v>
      </c>
      <c r="L11" s="17"/>
      <c r="M11" s="33"/>
      <c r="N11" s="33"/>
      <c r="O11" s="24"/>
      <c r="P11" s="24"/>
      <c r="Q11" s="24"/>
      <c r="R11" s="17">
        <f>O11*0.045</f>
        <v>0</v>
      </c>
      <c r="S11" s="20"/>
      <c r="T11" s="90">
        <f t="shared" si="1"/>
        <v>0</v>
      </c>
      <c r="U11" s="17"/>
      <c r="V11" s="24">
        <v>0</v>
      </c>
      <c r="W11" s="17"/>
      <c r="X11" s="17"/>
      <c r="Y11" s="90"/>
      <c r="Z11" s="17"/>
      <c r="AA11" s="90">
        <v>0</v>
      </c>
      <c r="AB11" s="10"/>
      <c r="AC11" s="10"/>
      <c r="AD11" s="10"/>
      <c r="AE11" s="10"/>
      <c r="AF11" s="10"/>
      <c r="AG11" s="17"/>
      <c r="AH11" s="17"/>
      <c r="AI11" s="17"/>
      <c r="AJ11" s="17"/>
      <c r="AK11" s="100">
        <f t="shared" si="0"/>
        <v>0</v>
      </c>
    </row>
    <row r="12" spans="2:37" x14ac:dyDescent="0.2">
      <c r="B12" s="128"/>
      <c r="C12" s="51" t="s">
        <v>72</v>
      </c>
      <c r="D12" s="77">
        <v>8</v>
      </c>
      <c r="E12" s="79" t="s">
        <v>104</v>
      </c>
      <c r="F12" s="80" t="s">
        <v>30</v>
      </c>
      <c r="G12" s="55"/>
      <c r="H12" s="57"/>
      <c r="I12" s="57"/>
      <c r="J12" s="57"/>
      <c r="K12" s="86"/>
      <c r="L12" s="57"/>
      <c r="M12" s="55"/>
      <c r="N12" s="55"/>
      <c r="O12" s="57"/>
      <c r="P12" s="57"/>
      <c r="Q12" s="57"/>
      <c r="R12" s="57"/>
      <c r="S12" s="82"/>
      <c r="T12" s="57">
        <f t="shared" si="1"/>
        <v>0</v>
      </c>
      <c r="U12" s="57"/>
      <c r="V12" s="57"/>
      <c r="W12" s="57"/>
      <c r="X12" s="57"/>
      <c r="Y12" s="86"/>
      <c r="Z12" s="57"/>
      <c r="AA12" s="86">
        <v>0</v>
      </c>
      <c r="AB12" s="58"/>
      <c r="AC12" s="58"/>
      <c r="AD12" s="58"/>
      <c r="AE12" s="86">
        <v>0</v>
      </c>
      <c r="AF12" s="58"/>
      <c r="AG12" s="57"/>
      <c r="AH12" s="57"/>
      <c r="AI12" s="86">
        <v>0</v>
      </c>
      <c r="AJ12" s="41">
        <v>0</v>
      </c>
      <c r="AK12" s="100">
        <f t="shared" si="0"/>
        <v>0</v>
      </c>
    </row>
    <row r="13" spans="2:37" x14ac:dyDescent="0.2">
      <c r="B13" s="128" t="s">
        <v>66</v>
      </c>
      <c r="C13" s="15" t="s">
        <v>73</v>
      </c>
      <c r="D13" s="75">
        <v>9</v>
      </c>
      <c r="E13" s="73" t="s">
        <v>116</v>
      </c>
      <c r="F13" s="74" t="s">
        <v>29</v>
      </c>
      <c r="G13" s="8">
        <v>23</v>
      </c>
      <c r="H13" s="5">
        <v>245</v>
      </c>
      <c r="I13" s="17">
        <f t="shared" ref="I13" si="2">H13*G13</f>
        <v>5635</v>
      </c>
      <c r="J13" s="17"/>
      <c r="K13" s="90">
        <v>0</v>
      </c>
      <c r="L13" s="17"/>
      <c r="M13" s="33"/>
      <c r="N13" s="33"/>
      <c r="O13" s="24"/>
      <c r="P13" s="24"/>
      <c r="Q13" s="24"/>
      <c r="R13" s="17">
        <f>O13*0.045</f>
        <v>0</v>
      </c>
      <c r="S13" s="20"/>
      <c r="T13" s="90">
        <f t="shared" si="1"/>
        <v>0</v>
      </c>
      <c r="U13" s="17">
        <v>24000</v>
      </c>
      <c r="V13" s="24"/>
      <c r="W13" s="17"/>
      <c r="X13" s="17"/>
      <c r="Y13" s="90"/>
      <c r="Z13" s="17"/>
      <c r="AA13" s="90">
        <v>0</v>
      </c>
      <c r="AB13" s="10"/>
      <c r="AC13" s="10"/>
      <c r="AD13" s="10"/>
      <c r="AE13" s="10"/>
      <c r="AF13" s="10"/>
      <c r="AG13" s="17"/>
      <c r="AH13" s="17"/>
      <c r="AI13" s="17"/>
      <c r="AJ13" s="17"/>
      <c r="AK13" s="100">
        <f t="shared" si="0"/>
        <v>29635</v>
      </c>
    </row>
    <row r="14" spans="2:37" x14ac:dyDescent="0.2">
      <c r="B14" s="128"/>
      <c r="C14" s="51" t="s">
        <v>74</v>
      </c>
      <c r="D14" s="77">
        <v>10</v>
      </c>
      <c r="E14" s="79" t="s">
        <v>113</v>
      </c>
      <c r="F14" s="81" t="s">
        <v>30</v>
      </c>
      <c r="G14" s="55"/>
      <c r="H14" s="57"/>
      <c r="I14" s="57"/>
      <c r="J14" s="57"/>
      <c r="K14" s="86"/>
      <c r="L14" s="57"/>
      <c r="M14" s="55"/>
      <c r="N14" s="55"/>
      <c r="O14" s="57"/>
      <c r="P14" s="57"/>
      <c r="Q14" s="57"/>
      <c r="R14" s="57"/>
      <c r="S14" s="82"/>
      <c r="T14" s="57">
        <f t="shared" si="1"/>
        <v>0</v>
      </c>
      <c r="U14" s="57"/>
      <c r="V14" s="57"/>
      <c r="W14" s="57"/>
      <c r="X14" s="57"/>
      <c r="Y14" s="86"/>
      <c r="Z14" s="57"/>
      <c r="AA14" s="86">
        <v>0</v>
      </c>
      <c r="AB14" s="58"/>
      <c r="AC14" s="58"/>
      <c r="AD14" s="58"/>
      <c r="AE14" s="86">
        <v>0</v>
      </c>
      <c r="AF14" s="58"/>
      <c r="AG14" s="57"/>
      <c r="AH14" s="57"/>
      <c r="AI14" s="86">
        <v>0</v>
      </c>
      <c r="AJ14" s="41">
        <v>0</v>
      </c>
      <c r="AK14" s="100">
        <f t="shared" si="0"/>
        <v>0</v>
      </c>
    </row>
    <row r="15" spans="2:37" x14ac:dyDescent="0.2">
      <c r="B15" s="128"/>
      <c r="C15" s="51" t="s">
        <v>75</v>
      </c>
      <c r="D15" s="77">
        <v>11</v>
      </c>
      <c r="E15" s="79" t="s">
        <v>112</v>
      </c>
      <c r="F15" s="81" t="s">
        <v>30</v>
      </c>
      <c r="G15" s="55"/>
      <c r="H15" s="57"/>
      <c r="I15" s="57"/>
      <c r="J15" s="57"/>
      <c r="K15" s="86"/>
      <c r="L15" s="57"/>
      <c r="M15" s="55"/>
      <c r="N15" s="55"/>
      <c r="O15" s="57"/>
      <c r="P15" s="57"/>
      <c r="Q15" s="57"/>
      <c r="R15" s="57"/>
      <c r="S15" s="82"/>
      <c r="T15" s="57">
        <f t="shared" si="1"/>
        <v>0</v>
      </c>
      <c r="U15" s="57"/>
      <c r="V15" s="57"/>
      <c r="W15" s="57"/>
      <c r="X15" s="57"/>
      <c r="Y15" s="86"/>
      <c r="Z15" s="57"/>
      <c r="AA15" s="86">
        <v>3200</v>
      </c>
      <c r="AB15" s="58"/>
      <c r="AC15" s="58"/>
      <c r="AD15" s="58"/>
      <c r="AE15" s="86">
        <v>0</v>
      </c>
      <c r="AF15" s="58"/>
      <c r="AG15" s="57"/>
      <c r="AH15" s="57"/>
      <c r="AI15" s="86">
        <v>0</v>
      </c>
      <c r="AJ15" s="41">
        <v>0</v>
      </c>
      <c r="AK15" s="100">
        <f t="shared" si="0"/>
        <v>3200</v>
      </c>
    </row>
    <row r="16" spans="2:37" x14ac:dyDescent="0.2">
      <c r="B16" s="128"/>
      <c r="C16" s="15" t="s">
        <v>80</v>
      </c>
      <c r="D16" s="75">
        <v>12</v>
      </c>
      <c r="E16" s="73" t="s">
        <v>111</v>
      </c>
      <c r="F16" s="74" t="s">
        <v>29</v>
      </c>
      <c r="G16" s="33"/>
      <c r="H16" s="17"/>
      <c r="I16" s="17">
        <f>I15*G16</f>
        <v>0</v>
      </c>
      <c r="J16" s="17"/>
      <c r="K16" s="90">
        <v>0</v>
      </c>
      <c r="L16" s="17"/>
      <c r="M16" s="33"/>
      <c r="N16" s="33"/>
      <c r="O16" s="24"/>
      <c r="P16" s="24"/>
      <c r="Q16" s="24"/>
      <c r="R16" s="17">
        <f>O16*0.045</f>
        <v>0</v>
      </c>
      <c r="S16" s="20"/>
      <c r="T16" s="90">
        <f t="shared" si="1"/>
        <v>0</v>
      </c>
      <c r="U16" s="17"/>
      <c r="V16" s="24"/>
      <c r="W16" s="17"/>
      <c r="X16" s="17"/>
      <c r="Y16" s="90"/>
      <c r="Z16" s="17"/>
      <c r="AA16" s="90">
        <v>0</v>
      </c>
      <c r="AB16" s="10"/>
      <c r="AC16" s="10"/>
      <c r="AD16" s="10"/>
      <c r="AE16" s="10"/>
      <c r="AF16" s="10"/>
      <c r="AG16" s="17"/>
      <c r="AH16" s="17"/>
      <c r="AI16" s="17"/>
      <c r="AJ16" s="17"/>
      <c r="AK16" s="100">
        <f t="shared" si="0"/>
        <v>0</v>
      </c>
    </row>
    <row r="17" spans="1:37" x14ac:dyDescent="0.2">
      <c r="B17" s="142" t="s">
        <v>67</v>
      </c>
      <c r="C17" s="15" t="s">
        <v>76</v>
      </c>
      <c r="D17" s="75">
        <v>13</v>
      </c>
      <c r="E17" s="73" t="s">
        <v>110</v>
      </c>
      <c r="F17" s="74" t="s">
        <v>29</v>
      </c>
      <c r="G17" s="33"/>
      <c r="H17" s="17"/>
      <c r="I17" s="17"/>
      <c r="J17" s="17"/>
      <c r="K17" s="90"/>
      <c r="L17" s="17"/>
      <c r="M17" s="33"/>
      <c r="N17" s="33"/>
      <c r="O17" s="24"/>
      <c r="P17" s="24"/>
      <c r="Q17" s="24"/>
      <c r="R17" s="17"/>
      <c r="S17" s="20"/>
      <c r="T17" s="90"/>
      <c r="U17" s="17"/>
      <c r="V17" s="24"/>
      <c r="W17" s="17"/>
      <c r="X17" s="17"/>
      <c r="Y17" s="90"/>
      <c r="Z17" s="17"/>
      <c r="AA17" s="90"/>
      <c r="AB17" s="10"/>
      <c r="AC17" s="10"/>
      <c r="AD17" s="10"/>
      <c r="AE17" s="10"/>
      <c r="AF17" s="10"/>
      <c r="AG17" s="17"/>
      <c r="AH17" s="17"/>
      <c r="AI17" s="17"/>
      <c r="AJ17" s="17"/>
      <c r="AK17" s="100"/>
    </row>
    <row r="18" spans="1:37" x14ac:dyDescent="0.2">
      <c r="B18" s="143"/>
      <c r="C18" s="51" t="s">
        <v>77</v>
      </c>
      <c r="D18" s="77">
        <v>14</v>
      </c>
      <c r="E18" s="79" t="s">
        <v>109</v>
      </c>
      <c r="F18" s="81" t="s">
        <v>30</v>
      </c>
      <c r="G18" s="82"/>
      <c r="H18" s="82"/>
      <c r="I18" s="82"/>
      <c r="J18" s="57"/>
      <c r="K18" s="93"/>
      <c r="L18" s="57"/>
      <c r="M18" s="54"/>
      <c r="N18" s="54"/>
      <c r="O18" s="54"/>
      <c r="P18" s="83"/>
      <c r="Q18" s="83"/>
      <c r="R18" s="83"/>
      <c r="S18" s="82"/>
      <c r="T18" s="83"/>
      <c r="U18" s="57"/>
      <c r="V18" s="54"/>
      <c r="W18" s="57"/>
      <c r="X18" s="57"/>
      <c r="Y18" s="94"/>
      <c r="Z18" s="57"/>
      <c r="AA18" s="86"/>
      <c r="AB18" s="58"/>
      <c r="AC18" s="58"/>
      <c r="AD18" s="58"/>
      <c r="AE18" s="86"/>
      <c r="AF18" s="58"/>
      <c r="AG18" s="57"/>
      <c r="AH18" s="57"/>
      <c r="AI18" s="86"/>
      <c r="AJ18" s="41"/>
      <c r="AK18" s="100"/>
    </row>
    <row r="19" spans="1:37" x14ac:dyDescent="0.2">
      <c r="B19" s="144"/>
      <c r="C19" s="15" t="s">
        <v>78</v>
      </c>
      <c r="D19" s="75">
        <v>15</v>
      </c>
      <c r="E19" s="73" t="s">
        <v>107</v>
      </c>
      <c r="F19" s="76" t="s">
        <v>29</v>
      </c>
      <c r="G19" s="8">
        <v>23</v>
      </c>
      <c r="H19" s="5">
        <v>245</v>
      </c>
      <c r="I19" s="17">
        <f t="shared" ref="I19" si="3">H19*G19</f>
        <v>5635</v>
      </c>
      <c r="J19" s="17"/>
      <c r="K19" s="90">
        <v>0</v>
      </c>
      <c r="L19" s="17"/>
      <c r="M19" s="33"/>
      <c r="N19" s="33"/>
      <c r="O19" s="24"/>
      <c r="P19" s="24"/>
      <c r="Q19" s="24"/>
      <c r="R19" s="17">
        <f>O19*0.045</f>
        <v>0</v>
      </c>
      <c r="S19" s="20"/>
      <c r="T19" s="90">
        <f>SUM(O19:R19)*M19*N19</f>
        <v>0</v>
      </c>
      <c r="U19" s="17">
        <v>16000</v>
      </c>
      <c r="V19" s="24"/>
      <c r="W19" s="17"/>
      <c r="X19" s="17"/>
      <c r="Y19" s="90"/>
      <c r="Z19" s="17"/>
      <c r="AA19" s="90">
        <v>0</v>
      </c>
      <c r="AB19" s="10"/>
      <c r="AC19" s="10"/>
      <c r="AD19" s="10"/>
      <c r="AE19" s="10"/>
      <c r="AF19" s="10"/>
      <c r="AG19" s="17"/>
      <c r="AH19" s="17"/>
      <c r="AI19" s="17"/>
      <c r="AJ19" s="17"/>
      <c r="AK19" s="100">
        <f>SUM(S19:AJ19)+SUM(I19:L19)</f>
        <v>21635</v>
      </c>
    </row>
    <row r="20" spans="1:37" x14ac:dyDescent="0.2">
      <c r="B20" s="35"/>
      <c r="C20" s="12"/>
      <c r="D20" s="37"/>
      <c r="E20" s="38"/>
      <c r="F20" s="39"/>
      <c r="G20" s="59" t="s">
        <v>95</v>
      </c>
      <c r="H20" s="60"/>
      <c r="I20" s="60">
        <f>SUM(I4:I19)</f>
        <v>11270</v>
      </c>
      <c r="J20" s="60">
        <f>SUM(J4:J19)</f>
        <v>0</v>
      </c>
      <c r="K20" s="60">
        <f>SUM(K4:K19)</f>
        <v>0</v>
      </c>
      <c r="L20" s="60">
        <f>SUM(L4:L19)</f>
        <v>0</v>
      </c>
      <c r="M20" s="60"/>
      <c r="N20" s="60"/>
      <c r="O20" s="60"/>
      <c r="P20" s="60"/>
      <c r="Q20" s="60"/>
      <c r="R20" s="60"/>
      <c r="S20" s="60">
        <f t="shared" ref="S20:AJ20" si="4">SUM(S4:S19)</f>
        <v>0</v>
      </c>
      <c r="T20" s="60">
        <f t="shared" si="4"/>
        <v>0</v>
      </c>
      <c r="U20" s="60">
        <f t="shared" si="4"/>
        <v>40000</v>
      </c>
      <c r="V20" s="60">
        <f t="shared" si="4"/>
        <v>0</v>
      </c>
      <c r="W20" s="60">
        <f t="shared" si="4"/>
        <v>0</v>
      </c>
      <c r="X20" s="60">
        <f t="shared" si="4"/>
        <v>0</v>
      </c>
      <c r="Y20" s="60">
        <f t="shared" si="4"/>
        <v>0</v>
      </c>
      <c r="Z20" s="60">
        <f t="shared" si="4"/>
        <v>0</v>
      </c>
      <c r="AA20" s="60">
        <f t="shared" si="4"/>
        <v>6400</v>
      </c>
      <c r="AB20" s="60">
        <f t="shared" si="4"/>
        <v>0</v>
      </c>
      <c r="AC20" s="60">
        <f t="shared" si="4"/>
        <v>0</v>
      </c>
      <c r="AD20" s="60">
        <f t="shared" si="4"/>
        <v>0</v>
      </c>
      <c r="AE20" s="60">
        <f t="shared" si="4"/>
        <v>0</v>
      </c>
      <c r="AF20" s="60">
        <f t="shared" si="4"/>
        <v>0</v>
      </c>
      <c r="AG20" s="60">
        <f t="shared" si="4"/>
        <v>0</v>
      </c>
      <c r="AH20" s="60">
        <f t="shared" si="4"/>
        <v>0</v>
      </c>
      <c r="AI20" s="60">
        <f t="shared" si="4"/>
        <v>0</v>
      </c>
      <c r="AJ20" s="60">
        <f t="shared" si="4"/>
        <v>0</v>
      </c>
      <c r="AK20" s="99">
        <f>SUM(AK5:AK19)</f>
        <v>57670</v>
      </c>
    </row>
    <row r="21" spans="1:37" x14ac:dyDescent="0.2">
      <c r="E21" s="22"/>
      <c r="L21" s="18"/>
      <c r="N21" s="19"/>
      <c r="P21" s="19"/>
      <c r="Q21" s="19"/>
      <c r="R21" s="19"/>
      <c r="S21" s="19"/>
      <c r="T21" s="19"/>
      <c r="Y21" s="18"/>
    </row>
    <row r="22" spans="1:37" ht="17" thickBot="1" x14ac:dyDescent="0.25">
      <c r="E22" s="13"/>
      <c r="F22" s="45" t="s">
        <v>54</v>
      </c>
      <c r="G22" s="45" t="s">
        <v>55</v>
      </c>
      <c r="H22" s="45" t="s">
        <v>56</v>
      </c>
      <c r="I22" s="45" t="s">
        <v>57</v>
      </c>
      <c r="J22" s="45" t="s">
        <v>58</v>
      </c>
      <c r="K22" s="45" t="s">
        <v>59</v>
      </c>
      <c r="L22" s="18"/>
      <c r="N22" s="19"/>
      <c r="P22" s="19"/>
      <c r="Q22" s="19"/>
      <c r="R22" s="19"/>
      <c r="S22" s="19"/>
      <c r="T22" s="19"/>
      <c r="Y22" s="18"/>
    </row>
    <row r="23" spans="1:37" ht="15.5" customHeight="1" x14ac:dyDescent="0.2">
      <c r="D23" s="124" t="s">
        <v>44</v>
      </c>
      <c r="E23" s="25" t="s">
        <v>45</v>
      </c>
      <c r="F23" s="26"/>
      <c r="G23" s="26"/>
      <c r="H23" s="26"/>
      <c r="I23" s="26"/>
      <c r="J23" s="26"/>
      <c r="K23" s="27"/>
      <c r="L23" s="18"/>
      <c r="N23" s="19"/>
      <c r="P23" s="19"/>
      <c r="Q23" s="19"/>
      <c r="R23" s="19"/>
      <c r="S23" s="19"/>
      <c r="T23" s="19"/>
      <c r="Y23" s="18"/>
    </row>
    <row r="24" spans="1:37" x14ac:dyDescent="0.2">
      <c r="D24" s="124"/>
      <c r="E24" s="6" t="s">
        <v>46</v>
      </c>
      <c r="F24" s="17">
        <f>SUM(I5:I8)</f>
        <v>0</v>
      </c>
      <c r="G24" s="17">
        <f>SUM(I9:I12)</f>
        <v>0</v>
      </c>
      <c r="H24" s="17">
        <f>SUM(I13:I16)</f>
        <v>5635</v>
      </c>
      <c r="I24" s="17">
        <f>SUM(I19:I19)</f>
        <v>5635</v>
      </c>
      <c r="J24" s="17"/>
      <c r="K24" s="28"/>
      <c r="L24" s="18">
        <f>SUM(F24:K24)</f>
        <v>11270</v>
      </c>
      <c r="N24" s="19"/>
      <c r="P24" s="19"/>
      <c r="Q24" s="19"/>
      <c r="R24" s="19"/>
      <c r="S24" s="19"/>
      <c r="T24" s="19"/>
      <c r="Y24" s="18"/>
    </row>
    <row r="25" spans="1:37" x14ac:dyDescent="0.2">
      <c r="D25" s="124"/>
      <c r="E25" s="6" t="s">
        <v>47</v>
      </c>
      <c r="F25" s="17">
        <f>SUM(J5:L8)</f>
        <v>0</v>
      </c>
      <c r="G25" s="17">
        <f>SUM(J9:L12)</f>
        <v>0</v>
      </c>
      <c r="H25" s="17">
        <f>SUM(J13:L16)</f>
        <v>0</v>
      </c>
      <c r="I25" s="17">
        <f>SUM(J19:L19)</f>
        <v>0</v>
      </c>
      <c r="J25" s="17"/>
      <c r="K25" s="28"/>
      <c r="L25" s="18">
        <f>SUM(F25:K25)</f>
        <v>0</v>
      </c>
      <c r="N25" s="19"/>
      <c r="P25" s="19"/>
      <c r="Q25" s="19"/>
      <c r="R25" s="19"/>
      <c r="S25" s="19"/>
      <c r="T25" s="19"/>
      <c r="Y25" s="18"/>
    </row>
    <row r="26" spans="1:37" x14ac:dyDescent="0.2">
      <c r="D26" s="124"/>
      <c r="E26" s="4" t="s">
        <v>18</v>
      </c>
      <c r="F26" s="17"/>
      <c r="G26" s="17"/>
      <c r="H26" s="17"/>
      <c r="I26" s="17"/>
      <c r="J26" s="17"/>
      <c r="K26" s="28"/>
      <c r="L26" s="18"/>
      <c r="N26" s="19"/>
      <c r="P26" s="19"/>
      <c r="Q26" s="19"/>
      <c r="R26" s="19"/>
      <c r="S26" s="19"/>
      <c r="T26" s="19"/>
      <c r="Y26" s="18"/>
    </row>
    <row r="27" spans="1:37" x14ac:dyDescent="0.2">
      <c r="D27" s="124"/>
      <c r="E27" s="6" t="s">
        <v>52</v>
      </c>
      <c r="F27" s="17">
        <f>SUM(T5:T8)</f>
        <v>0</v>
      </c>
      <c r="G27" s="17">
        <f>SUM(T9:T12)</f>
        <v>0</v>
      </c>
      <c r="H27" s="17">
        <f>SUM(T13:T16)</f>
        <v>0</v>
      </c>
      <c r="I27" s="17">
        <f>SUM(T19:T19)</f>
        <v>0</v>
      </c>
      <c r="J27" s="17"/>
      <c r="K27" s="28"/>
      <c r="L27" s="18">
        <f t="shared" ref="L27:L45" si="5">SUM(F27:K27)</f>
        <v>0</v>
      </c>
      <c r="Y27" s="18"/>
      <c r="AA27" s="18"/>
      <c r="AB27" s="18"/>
      <c r="AC27" s="18"/>
      <c r="AD27" s="18"/>
      <c r="AE27" s="18"/>
      <c r="AF27" s="18"/>
    </row>
    <row r="28" spans="1:37" x14ac:dyDescent="0.2">
      <c r="D28" s="124"/>
      <c r="E28" s="6" t="s">
        <v>17</v>
      </c>
      <c r="F28" s="17"/>
      <c r="G28" s="17"/>
      <c r="H28" s="17"/>
      <c r="I28" s="17"/>
      <c r="J28" s="17"/>
      <c r="K28" s="28"/>
      <c r="L28" s="18">
        <f t="shared" si="5"/>
        <v>0</v>
      </c>
      <c r="Y28" s="18"/>
      <c r="AA28" s="18"/>
      <c r="AB28" s="18"/>
      <c r="AC28" s="18"/>
      <c r="AD28" s="18"/>
      <c r="AE28" s="18"/>
      <c r="AF28" s="18"/>
    </row>
    <row r="29" spans="1:37" x14ac:dyDescent="0.2">
      <c r="D29" s="124"/>
      <c r="E29" s="4" t="s">
        <v>97</v>
      </c>
      <c r="F29" s="17">
        <f>SUM(U5:U8)</f>
        <v>0</v>
      </c>
      <c r="G29" s="17">
        <f>SUM(U9:U12)</f>
        <v>0</v>
      </c>
      <c r="H29" s="17">
        <f>SUM(U13:U16)</f>
        <v>24000</v>
      </c>
      <c r="I29" s="17">
        <f>SUM(U17:U19)</f>
        <v>16000</v>
      </c>
      <c r="J29" s="17"/>
      <c r="K29" s="28"/>
      <c r="L29" s="18">
        <f t="shared" si="5"/>
        <v>40000</v>
      </c>
      <c r="N29" s="19"/>
      <c r="Y29" s="18"/>
      <c r="AA29" s="18"/>
      <c r="AB29" s="18"/>
      <c r="AC29" s="18"/>
      <c r="AD29" s="18"/>
      <c r="AE29" s="18"/>
      <c r="AF29" s="18"/>
    </row>
    <row r="30" spans="1:37" x14ac:dyDescent="0.2">
      <c r="D30" s="124"/>
      <c r="E30" s="47" t="s">
        <v>101</v>
      </c>
      <c r="F30" s="17">
        <f>SUM(V5:V8)</f>
        <v>0</v>
      </c>
      <c r="G30" s="17">
        <f>SUM(V9:V12)</f>
        <v>0</v>
      </c>
      <c r="H30" s="17">
        <f>SUM(V13:V16)</f>
        <v>0</v>
      </c>
      <c r="I30" s="17">
        <f>SUM(V19:V19)</f>
        <v>0</v>
      </c>
      <c r="J30" s="17"/>
      <c r="K30" s="28"/>
      <c r="L30" s="18">
        <f t="shared" si="5"/>
        <v>0</v>
      </c>
      <c r="N30" s="19"/>
      <c r="Y30" s="18"/>
      <c r="AA30" s="18"/>
      <c r="AB30" s="18"/>
      <c r="AC30" s="18"/>
      <c r="AD30" s="18"/>
      <c r="AE30" s="18"/>
      <c r="AF30" s="18"/>
    </row>
    <row r="31" spans="1:37" x14ac:dyDescent="0.2">
      <c r="D31" s="124"/>
      <c r="E31" s="4" t="s">
        <v>20</v>
      </c>
      <c r="F31" s="17"/>
      <c r="G31" s="17"/>
      <c r="H31" s="17"/>
      <c r="I31" s="17"/>
      <c r="J31" s="17"/>
      <c r="K31" s="28"/>
      <c r="L31" s="18">
        <f t="shared" si="5"/>
        <v>0</v>
      </c>
    </row>
    <row r="32" spans="1:37" s="7" customFormat="1" ht="17" thickBot="1" x14ac:dyDescent="0.25">
      <c r="A32" s="21"/>
      <c r="B32" s="21"/>
      <c r="C32" s="21"/>
      <c r="D32" s="125"/>
      <c r="E32" s="29" t="s">
        <v>21</v>
      </c>
      <c r="F32" s="30"/>
      <c r="G32" s="30"/>
      <c r="H32" s="30"/>
      <c r="I32" s="30"/>
      <c r="J32" s="30"/>
      <c r="K32" s="31"/>
      <c r="L32" s="18">
        <f t="shared" si="5"/>
        <v>0</v>
      </c>
      <c r="N32" s="19"/>
      <c r="AK32" s="21"/>
    </row>
    <row r="33" spans="1:37" s="7" customFormat="1" x14ac:dyDescent="0.2">
      <c r="A33" s="21"/>
      <c r="B33" s="21"/>
      <c r="C33" s="21"/>
      <c r="D33" s="126" t="s">
        <v>87</v>
      </c>
      <c r="E33" s="46" t="s">
        <v>45</v>
      </c>
      <c r="F33" s="61">
        <f>SUM(Y5:Y8)</f>
        <v>0</v>
      </c>
      <c r="G33" s="61">
        <f>SUM(Y9:Y12)</f>
        <v>0</v>
      </c>
      <c r="H33" s="61">
        <f>SUM(Y13:Y16)</f>
        <v>0</v>
      </c>
      <c r="I33" s="61">
        <f>SUM(Y19:Y19)</f>
        <v>0</v>
      </c>
      <c r="J33" s="61"/>
      <c r="K33" s="62"/>
      <c r="L33" s="18">
        <f t="shared" si="5"/>
        <v>0</v>
      </c>
      <c r="AK33" s="21"/>
    </row>
    <row r="34" spans="1:37" s="7" customFormat="1" x14ac:dyDescent="0.2">
      <c r="A34" s="21"/>
      <c r="B34" s="21"/>
      <c r="C34" s="21"/>
      <c r="D34" s="126"/>
      <c r="E34" s="47" t="s">
        <v>27</v>
      </c>
      <c r="F34" s="17"/>
      <c r="G34" s="17"/>
      <c r="H34" s="17"/>
      <c r="I34" s="17"/>
      <c r="J34" s="17"/>
      <c r="K34" s="28"/>
      <c r="L34" s="18">
        <f t="shared" si="5"/>
        <v>0</v>
      </c>
      <c r="AK34" s="21"/>
    </row>
    <row r="35" spans="1:37" s="7" customFormat="1" ht="17" x14ac:dyDescent="0.2">
      <c r="A35" s="21"/>
      <c r="B35" s="21"/>
      <c r="C35" s="21"/>
      <c r="D35" s="126"/>
      <c r="E35" s="48" t="s">
        <v>5</v>
      </c>
      <c r="F35" s="95">
        <f>SUM(AA5:AA8)</f>
        <v>3200</v>
      </c>
      <c r="G35" s="17">
        <f>SUM(AA9:AA12)</f>
        <v>0</v>
      </c>
      <c r="H35" s="17">
        <f>SUM(AA13:AA16)</f>
        <v>3200</v>
      </c>
      <c r="I35" s="17">
        <f>SUM(AA17:AA19)</f>
        <v>0</v>
      </c>
      <c r="J35" s="8"/>
      <c r="K35" s="63"/>
      <c r="L35" s="18">
        <f t="shared" si="5"/>
        <v>6400</v>
      </c>
      <c r="AK35" s="21"/>
    </row>
    <row r="36" spans="1:37" s="7" customFormat="1" ht="17" x14ac:dyDescent="0.2">
      <c r="A36" s="21"/>
      <c r="B36" s="21"/>
      <c r="C36" s="21"/>
      <c r="D36" s="126"/>
      <c r="E36" s="48" t="s">
        <v>93</v>
      </c>
      <c r="F36" s="23"/>
      <c r="G36" s="8"/>
      <c r="H36" s="8"/>
      <c r="I36" s="8"/>
      <c r="J36" s="8"/>
      <c r="K36" s="63"/>
      <c r="L36" s="18">
        <f t="shared" si="5"/>
        <v>0</v>
      </c>
      <c r="AK36" s="21"/>
    </row>
    <row r="37" spans="1:37" s="7" customFormat="1" ht="17" x14ac:dyDescent="0.2">
      <c r="A37" s="21"/>
      <c r="B37" s="21"/>
      <c r="C37" s="21"/>
      <c r="D37" s="126"/>
      <c r="E37" s="48" t="s">
        <v>92</v>
      </c>
      <c r="F37" s="23"/>
      <c r="G37" s="8"/>
      <c r="H37" s="8"/>
      <c r="I37" s="8"/>
      <c r="J37" s="8"/>
      <c r="K37" s="63"/>
      <c r="L37" s="18">
        <f t="shared" si="5"/>
        <v>0</v>
      </c>
      <c r="AK37" s="21"/>
    </row>
    <row r="38" spans="1:37" s="7" customFormat="1" ht="17" x14ac:dyDescent="0.2">
      <c r="A38" s="21"/>
      <c r="B38" s="21"/>
      <c r="C38" s="21"/>
      <c r="D38" s="126"/>
      <c r="E38" s="48" t="s">
        <v>91</v>
      </c>
      <c r="F38" s="23"/>
      <c r="G38" s="8"/>
      <c r="H38" s="8"/>
      <c r="I38" s="8"/>
      <c r="J38" s="8"/>
      <c r="K38" s="63"/>
      <c r="L38" s="18">
        <f t="shared" si="5"/>
        <v>0</v>
      </c>
      <c r="AK38" s="21"/>
    </row>
    <row r="39" spans="1:37" s="7" customFormat="1" ht="17" x14ac:dyDescent="0.2">
      <c r="A39" s="21"/>
      <c r="B39" s="21"/>
      <c r="C39" s="21"/>
      <c r="D39" s="126"/>
      <c r="E39" s="48" t="s">
        <v>25</v>
      </c>
      <c r="F39" s="95">
        <f>SUM(AE5:AE8)</f>
        <v>0</v>
      </c>
      <c r="G39" s="17">
        <f>SUM(AE9:AE12)</f>
        <v>0</v>
      </c>
      <c r="H39" s="96">
        <f>SUM(AE13:AE16)</f>
        <v>0</v>
      </c>
      <c r="I39" s="96">
        <f>SUM(AE19:AE19)</f>
        <v>0</v>
      </c>
      <c r="J39" s="8"/>
      <c r="K39" s="63"/>
      <c r="L39" s="18">
        <f t="shared" si="5"/>
        <v>0</v>
      </c>
      <c r="AK39" s="21"/>
    </row>
    <row r="40" spans="1:37" s="7" customFormat="1" ht="17" x14ac:dyDescent="0.2">
      <c r="A40" s="21"/>
      <c r="B40" s="21"/>
      <c r="C40" s="21"/>
      <c r="D40" s="126"/>
      <c r="E40" s="48" t="s">
        <v>90</v>
      </c>
      <c r="F40" s="23"/>
      <c r="G40" s="8"/>
      <c r="H40" s="8"/>
      <c r="I40" s="8"/>
      <c r="J40" s="8"/>
      <c r="K40" s="63"/>
      <c r="L40" s="18">
        <f t="shared" si="5"/>
        <v>0</v>
      </c>
      <c r="AK40" s="21"/>
    </row>
    <row r="41" spans="1:37" s="7" customFormat="1" ht="17" x14ac:dyDescent="0.2">
      <c r="A41" s="21"/>
      <c r="B41" s="21"/>
      <c r="C41" s="21"/>
      <c r="D41" s="126"/>
      <c r="E41" s="48" t="s">
        <v>89</v>
      </c>
      <c r="F41" s="23"/>
      <c r="G41" s="8"/>
      <c r="H41" s="8"/>
      <c r="I41" s="8"/>
      <c r="J41" s="8"/>
      <c r="K41" s="63"/>
      <c r="L41" s="18">
        <f t="shared" si="5"/>
        <v>0</v>
      </c>
      <c r="AK41" s="21"/>
    </row>
    <row r="42" spans="1:37" s="7" customFormat="1" ht="17" x14ac:dyDescent="0.2">
      <c r="A42" s="21"/>
      <c r="B42" s="21"/>
      <c r="C42" s="21"/>
      <c r="D42" s="126"/>
      <c r="E42" s="48" t="s">
        <v>23</v>
      </c>
      <c r="F42" s="23"/>
      <c r="G42" s="8"/>
      <c r="H42" s="8"/>
      <c r="I42" s="8"/>
      <c r="J42" s="8"/>
      <c r="K42" s="63"/>
      <c r="L42" s="18">
        <f t="shared" si="5"/>
        <v>0</v>
      </c>
      <c r="AK42" s="21"/>
    </row>
    <row r="43" spans="1:37" s="7" customFormat="1" ht="17" x14ac:dyDescent="0.2">
      <c r="A43" s="21"/>
      <c r="B43" s="21"/>
      <c r="C43" s="21"/>
      <c r="D43" s="126"/>
      <c r="E43" s="48" t="s">
        <v>24</v>
      </c>
      <c r="F43" s="95">
        <f>SUM(AI5:AI8)</f>
        <v>0</v>
      </c>
      <c r="G43" s="17">
        <f>SUM(AI9:AI12)</f>
        <v>0</v>
      </c>
      <c r="H43" s="17">
        <f>SUM(AI13:AI16)</f>
        <v>0</v>
      </c>
      <c r="I43" s="17">
        <f>SUM(AI19:AI19)</f>
        <v>0</v>
      </c>
      <c r="J43" s="8"/>
      <c r="K43" s="63"/>
      <c r="L43" s="18">
        <f t="shared" si="5"/>
        <v>0</v>
      </c>
      <c r="AK43" s="21"/>
    </row>
    <row r="44" spans="1:37" s="7" customFormat="1" ht="18" thickBot="1" x14ac:dyDescent="0.25">
      <c r="A44" s="21"/>
      <c r="B44" s="21"/>
      <c r="C44" s="21"/>
      <c r="D44" s="126"/>
      <c r="E44" s="49" t="s">
        <v>88</v>
      </c>
      <c r="F44" s="97">
        <f>SUM(AJ5:AJ8)</f>
        <v>0</v>
      </c>
      <c r="G44" s="30">
        <f>SUM(AJ9:AJ12)</f>
        <v>0</v>
      </c>
      <c r="H44" s="30">
        <f>SUM(AJ13:AJ16)</f>
        <v>0</v>
      </c>
      <c r="I44" s="30">
        <f>SUM(AJ19:AJ19)</f>
        <v>0</v>
      </c>
      <c r="J44" s="64"/>
      <c r="K44" s="65"/>
      <c r="L44" s="18">
        <f t="shared" si="5"/>
        <v>0</v>
      </c>
      <c r="AK44" s="21"/>
    </row>
    <row r="45" spans="1:37" s="7" customFormat="1" x14ac:dyDescent="0.2">
      <c r="A45" s="21"/>
      <c r="B45" s="21"/>
      <c r="C45" s="21"/>
      <c r="D45" s="21"/>
      <c r="E45" s="68" t="s">
        <v>98</v>
      </c>
      <c r="F45" s="69">
        <f t="shared" ref="F45:K45" si="6">SUM(F23:F44)</f>
        <v>3200</v>
      </c>
      <c r="G45" s="69">
        <f t="shared" si="6"/>
        <v>0</v>
      </c>
      <c r="H45" s="69">
        <f t="shared" si="6"/>
        <v>32835</v>
      </c>
      <c r="I45" s="69">
        <f t="shared" si="6"/>
        <v>21635</v>
      </c>
      <c r="J45" s="69">
        <f t="shared" si="6"/>
        <v>0</v>
      </c>
      <c r="K45" s="69">
        <f t="shared" si="6"/>
        <v>0</v>
      </c>
      <c r="L45" s="18">
        <f t="shared" si="5"/>
        <v>57670</v>
      </c>
      <c r="AK45" s="21"/>
    </row>
  </sheetData>
  <mergeCells count="17">
    <mergeCell ref="H2:X2"/>
    <mergeCell ref="Y2:AJ2"/>
    <mergeCell ref="C3:C4"/>
    <mergeCell ref="D3:D4"/>
    <mergeCell ref="E3:E4"/>
    <mergeCell ref="F3:F4"/>
    <mergeCell ref="G3:G4"/>
    <mergeCell ref="H3:L3"/>
    <mergeCell ref="M3:T3"/>
    <mergeCell ref="U3:X3"/>
    <mergeCell ref="D23:D32"/>
    <mergeCell ref="D33:D44"/>
    <mergeCell ref="B17:B19"/>
    <mergeCell ref="AB3:AJ3"/>
    <mergeCell ref="B5:B8"/>
    <mergeCell ref="B9:B12"/>
    <mergeCell ref="B13:B16"/>
  </mergeCells>
  <pageMargins left="0.7" right="0.7" top="0.75" bottom="0.75" header="0.3" footer="0.3"/>
  <drawing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BC4D8-6B62-40C6-8D2F-E2C9D116EFAE}">
  <sheetPr>
    <tabColor theme="7" tint="0.59999389629810485"/>
  </sheetPr>
  <dimension ref="A2:AK45"/>
  <sheetViews>
    <sheetView showGridLines="0" topLeftCell="C14" zoomScale="80" zoomScaleNormal="80" workbookViewId="0">
      <selection activeCell="AJ6" sqref="AJ6"/>
    </sheetView>
  </sheetViews>
  <sheetFormatPr baseColWidth="10" defaultColWidth="13.83203125" defaultRowHeight="16" x14ac:dyDescent="0.2"/>
  <cols>
    <col min="1" max="1" width="3.6640625" style="21" customWidth="1"/>
    <col min="2" max="4" width="13.83203125" style="21"/>
    <col min="5" max="5" width="33.83203125" style="21" customWidth="1"/>
    <col min="6" max="6" width="13.83203125" style="21"/>
    <col min="7" max="7" width="17.6640625" style="7" bestFit="1" customWidth="1"/>
    <col min="8" max="8" width="14" style="7" customWidth="1"/>
    <col min="9" max="9" width="16.33203125" style="7" customWidth="1"/>
    <col min="10" max="11" width="14.33203125" style="7" customWidth="1"/>
    <col min="12" max="12" width="16" style="7" customWidth="1"/>
    <col min="13" max="13" width="12.6640625" style="7" customWidth="1"/>
    <col min="14" max="18" width="14.33203125" style="7" customWidth="1"/>
    <col min="19" max="19" width="15.6640625" style="7" customWidth="1"/>
    <col min="20" max="20" width="14.33203125" style="7" customWidth="1"/>
    <col min="21" max="23" width="11.5" style="7" customWidth="1"/>
    <col min="24" max="24" width="13.83203125" style="7" customWidth="1"/>
    <col min="25" max="25" width="17.1640625" style="7" customWidth="1"/>
    <col min="26" max="26" width="12.33203125" style="7" customWidth="1"/>
    <col min="27" max="27" width="14.5" style="7" bestFit="1" customWidth="1"/>
    <col min="28" max="36" width="14.5" style="7" customWidth="1"/>
    <col min="37" max="37" width="13.83203125" style="21"/>
    <col min="38" max="38" width="10.1640625" style="21" customWidth="1"/>
    <col min="39" max="16384" width="13.83203125" style="21"/>
  </cols>
  <sheetData>
    <row r="2" spans="2:37" ht="24" x14ac:dyDescent="0.3">
      <c r="C2" s="11"/>
      <c r="D2" s="11"/>
      <c r="E2" s="7"/>
      <c r="F2" s="7"/>
      <c r="H2" s="129" t="s">
        <v>50</v>
      </c>
      <c r="I2" s="129"/>
      <c r="J2" s="129"/>
      <c r="K2" s="129"/>
      <c r="L2" s="129"/>
      <c r="M2" s="129"/>
      <c r="N2" s="129"/>
      <c r="O2" s="129"/>
      <c r="P2" s="129"/>
      <c r="Q2" s="129"/>
      <c r="R2" s="129"/>
      <c r="S2" s="129"/>
      <c r="T2" s="129"/>
      <c r="U2" s="129"/>
      <c r="V2" s="129"/>
      <c r="W2" s="129"/>
      <c r="X2" s="129"/>
      <c r="Y2" s="130"/>
      <c r="Z2" s="130"/>
      <c r="AA2" s="130"/>
      <c r="AB2" s="130"/>
      <c r="AC2" s="130"/>
      <c r="AD2" s="130"/>
      <c r="AE2" s="130"/>
      <c r="AF2" s="130"/>
      <c r="AG2" s="130"/>
      <c r="AH2" s="130"/>
      <c r="AI2" s="130"/>
      <c r="AJ2" s="130"/>
    </row>
    <row r="3" spans="2:37" ht="21" x14ac:dyDescent="0.25">
      <c r="C3" s="131" t="s">
        <v>53</v>
      </c>
      <c r="D3" s="133" t="s">
        <v>48</v>
      </c>
      <c r="E3" s="135" t="s">
        <v>2</v>
      </c>
      <c r="F3" s="135" t="s">
        <v>3</v>
      </c>
      <c r="G3" s="137" t="s">
        <v>4</v>
      </c>
      <c r="H3" s="139" t="s">
        <v>60</v>
      </c>
      <c r="I3" s="140"/>
      <c r="J3" s="140"/>
      <c r="K3" s="140"/>
      <c r="L3" s="141"/>
      <c r="M3" s="139" t="s">
        <v>1</v>
      </c>
      <c r="N3" s="140"/>
      <c r="O3" s="140"/>
      <c r="P3" s="140"/>
      <c r="Q3" s="140"/>
      <c r="R3" s="140"/>
      <c r="S3" s="140"/>
      <c r="T3" s="141"/>
      <c r="U3" s="139" t="s">
        <v>85</v>
      </c>
      <c r="V3" s="140"/>
      <c r="W3" s="140"/>
      <c r="X3" s="141"/>
      <c r="Y3" s="44" t="s">
        <v>0</v>
      </c>
      <c r="Z3" s="44" t="s">
        <v>83</v>
      </c>
      <c r="AA3" s="44" t="s">
        <v>86</v>
      </c>
      <c r="AB3" s="127"/>
      <c r="AC3" s="127"/>
      <c r="AD3" s="127"/>
      <c r="AE3" s="127"/>
      <c r="AF3" s="127"/>
      <c r="AG3" s="127"/>
      <c r="AH3" s="127"/>
      <c r="AI3" s="127"/>
      <c r="AJ3" s="127"/>
    </row>
    <row r="4" spans="2:37" ht="64" x14ac:dyDescent="0.2">
      <c r="C4" s="132"/>
      <c r="D4" s="134"/>
      <c r="E4" s="136"/>
      <c r="F4" s="136"/>
      <c r="G4" s="138"/>
      <c r="H4" s="67" t="s">
        <v>99</v>
      </c>
      <c r="I4" s="43" t="s">
        <v>52</v>
      </c>
      <c r="J4" s="43" t="s">
        <v>61</v>
      </c>
      <c r="K4" s="43" t="s">
        <v>62</v>
      </c>
      <c r="L4" s="43" t="s">
        <v>63</v>
      </c>
      <c r="M4" s="67" t="s">
        <v>11</v>
      </c>
      <c r="N4" s="67" t="s">
        <v>12</v>
      </c>
      <c r="O4" s="67" t="s">
        <v>13</v>
      </c>
      <c r="P4" s="67" t="s">
        <v>14</v>
      </c>
      <c r="Q4" s="67" t="s">
        <v>15</v>
      </c>
      <c r="R4" s="67" t="s">
        <v>16</v>
      </c>
      <c r="S4" s="43" t="s">
        <v>17</v>
      </c>
      <c r="T4" s="43" t="s">
        <v>18</v>
      </c>
      <c r="U4" s="43" t="s">
        <v>19</v>
      </c>
      <c r="V4" s="43" t="s">
        <v>100</v>
      </c>
      <c r="W4" s="43" t="s">
        <v>20</v>
      </c>
      <c r="X4" s="43" t="s">
        <v>21</v>
      </c>
      <c r="Y4" s="43" t="s">
        <v>10</v>
      </c>
      <c r="Z4" s="43" t="s">
        <v>27</v>
      </c>
      <c r="AA4" s="43" t="s">
        <v>5</v>
      </c>
      <c r="AB4" s="43" t="s">
        <v>6</v>
      </c>
      <c r="AC4" s="43" t="s">
        <v>7</v>
      </c>
      <c r="AD4" s="43" t="s">
        <v>8</v>
      </c>
      <c r="AE4" s="43" t="s">
        <v>25</v>
      </c>
      <c r="AF4" s="43" t="s">
        <v>9</v>
      </c>
      <c r="AG4" s="43" t="s">
        <v>22</v>
      </c>
      <c r="AH4" s="43" t="s">
        <v>23</v>
      </c>
      <c r="AI4" s="43" t="s">
        <v>24</v>
      </c>
      <c r="AJ4" s="43" t="s">
        <v>26</v>
      </c>
      <c r="AK4" s="101" t="s">
        <v>96</v>
      </c>
    </row>
    <row r="5" spans="2:37" x14ac:dyDescent="0.2">
      <c r="B5" s="128" t="s">
        <v>64</v>
      </c>
      <c r="C5" s="51" t="s">
        <v>82</v>
      </c>
      <c r="D5" s="77">
        <v>1</v>
      </c>
      <c r="E5" s="78" t="s">
        <v>40</v>
      </c>
      <c r="F5" s="70" t="s">
        <v>30</v>
      </c>
      <c r="G5" s="55"/>
      <c r="H5" s="55"/>
      <c r="I5" s="55"/>
      <c r="J5" s="55"/>
      <c r="K5" s="86"/>
      <c r="L5" s="55"/>
      <c r="M5" s="55"/>
      <c r="N5" s="55"/>
      <c r="O5" s="55"/>
      <c r="P5" s="55"/>
      <c r="Q5" s="55"/>
      <c r="R5" s="55"/>
      <c r="S5" s="89"/>
      <c r="T5" s="55"/>
      <c r="U5" s="55"/>
      <c r="V5" s="55"/>
      <c r="W5" s="55"/>
      <c r="X5" s="55"/>
      <c r="Y5" s="86">
        <v>0</v>
      </c>
      <c r="Z5" s="55"/>
      <c r="AA5" s="86">
        <v>0</v>
      </c>
      <c r="AB5" s="55"/>
      <c r="AC5" s="55"/>
      <c r="AD5" s="55"/>
      <c r="AE5" s="86">
        <v>0</v>
      </c>
      <c r="AF5" s="55"/>
      <c r="AG5" s="55"/>
      <c r="AH5" s="55"/>
      <c r="AI5" s="86">
        <v>0</v>
      </c>
      <c r="AJ5" s="41">
        <v>0</v>
      </c>
      <c r="AK5" s="100">
        <f t="shared" ref="AK5:AK16" si="0">SUM(S5:AJ5)+SUM(I5:L5)</f>
        <v>0</v>
      </c>
    </row>
    <row r="6" spans="2:37" x14ac:dyDescent="0.2">
      <c r="B6" s="128"/>
      <c r="C6" s="34" t="s">
        <v>68</v>
      </c>
      <c r="D6" s="72">
        <v>2</v>
      </c>
      <c r="E6" s="73" t="s">
        <v>118</v>
      </c>
      <c r="F6" s="74" t="s">
        <v>29</v>
      </c>
      <c r="G6" s="33"/>
      <c r="H6" s="17"/>
      <c r="I6" s="17">
        <f>I5*G6</f>
        <v>0</v>
      </c>
      <c r="J6" s="17"/>
      <c r="K6" s="90">
        <v>0</v>
      </c>
      <c r="L6" s="17"/>
      <c r="M6" s="33"/>
      <c r="N6" s="33"/>
      <c r="O6" s="24"/>
      <c r="P6" s="24"/>
      <c r="Q6" s="24"/>
      <c r="R6" s="17">
        <f>O6*0.045</f>
        <v>0</v>
      </c>
      <c r="S6" s="20"/>
      <c r="T6" s="90">
        <f t="shared" ref="T6:T16" si="1">SUM(O6:R6)*M6*N6</f>
        <v>0</v>
      </c>
      <c r="U6" s="17"/>
      <c r="V6" s="24">
        <v>0</v>
      </c>
      <c r="W6" s="17"/>
      <c r="X6" s="17"/>
      <c r="Y6" s="90"/>
      <c r="Z6" s="17"/>
      <c r="AA6" s="90">
        <v>0</v>
      </c>
      <c r="AB6" s="10"/>
      <c r="AC6" s="10"/>
      <c r="AD6" s="10"/>
      <c r="AE6" s="10"/>
      <c r="AF6" s="10"/>
      <c r="AG6" s="17"/>
      <c r="AH6" s="17"/>
      <c r="AI6" s="17"/>
      <c r="AJ6" s="17"/>
      <c r="AK6" s="100">
        <f t="shared" si="0"/>
        <v>0</v>
      </c>
    </row>
    <row r="7" spans="2:37" x14ac:dyDescent="0.2">
      <c r="B7" s="128"/>
      <c r="C7" s="15" t="s">
        <v>69</v>
      </c>
      <c r="D7" s="75">
        <v>3</v>
      </c>
      <c r="E7" s="73" t="s">
        <v>117</v>
      </c>
      <c r="F7" s="74" t="s">
        <v>29</v>
      </c>
      <c r="G7" s="33"/>
      <c r="H7" s="17"/>
      <c r="I7" s="17">
        <f>I6*G7</f>
        <v>0</v>
      </c>
      <c r="J7" s="17"/>
      <c r="K7" s="90">
        <v>0</v>
      </c>
      <c r="L7" s="17"/>
      <c r="M7" s="33"/>
      <c r="N7" s="33"/>
      <c r="O7" s="24"/>
      <c r="P7" s="24"/>
      <c r="Q7" s="24"/>
      <c r="R7" s="17">
        <f>O7*0.045</f>
        <v>0</v>
      </c>
      <c r="S7" s="20"/>
      <c r="T7" s="90">
        <f t="shared" si="1"/>
        <v>0</v>
      </c>
      <c r="U7" s="17"/>
      <c r="V7" s="24">
        <v>0</v>
      </c>
      <c r="W7" s="17"/>
      <c r="X7" s="17"/>
      <c r="Y7" s="90"/>
      <c r="Z7" s="17"/>
      <c r="AA7" s="90">
        <v>0</v>
      </c>
      <c r="AB7" s="10"/>
      <c r="AC7" s="10"/>
      <c r="AD7" s="10"/>
      <c r="AE7" s="10"/>
      <c r="AF7" s="10"/>
      <c r="AG7" s="17"/>
      <c r="AH7" s="17"/>
      <c r="AI7" s="17"/>
      <c r="AJ7" s="17"/>
      <c r="AK7" s="100">
        <f t="shared" si="0"/>
        <v>0</v>
      </c>
    </row>
    <row r="8" spans="2:37" x14ac:dyDescent="0.2">
      <c r="B8" s="128"/>
      <c r="C8" s="55" t="s">
        <v>94</v>
      </c>
      <c r="D8" s="77">
        <v>4</v>
      </c>
      <c r="E8" s="79" t="s">
        <v>116</v>
      </c>
      <c r="F8" s="80" t="s">
        <v>30</v>
      </c>
      <c r="G8" s="55"/>
      <c r="H8" s="57"/>
      <c r="I8" s="57"/>
      <c r="J8" s="57"/>
      <c r="K8" s="86"/>
      <c r="L8" s="57"/>
      <c r="M8" s="55"/>
      <c r="N8" s="55"/>
      <c r="O8" s="57"/>
      <c r="P8" s="57"/>
      <c r="Q8" s="57"/>
      <c r="R8" s="57"/>
      <c r="S8" s="82"/>
      <c r="T8" s="57">
        <f t="shared" si="1"/>
        <v>0</v>
      </c>
      <c r="U8" s="57"/>
      <c r="V8" s="57"/>
      <c r="W8" s="57"/>
      <c r="X8" s="57"/>
      <c r="Y8" s="86"/>
      <c r="Z8" s="57"/>
      <c r="AA8" s="86">
        <v>3000</v>
      </c>
      <c r="AB8" s="58"/>
      <c r="AC8" s="58"/>
      <c r="AD8" s="58"/>
      <c r="AE8" s="86">
        <v>0</v>
      </c>
      <c r="AF8" s="58"/>
      <c r="AG8" s="57"/>
      <c r="AH8" s="57"/>
      <c r="AI8" s="86">
        <v>0</v>
      </c>
      <c r="AJ8" s="41">
        <v>0</v>
      </c>
      <c r="AK8" s="100">
        <f t="shared" si="0"/>
        <v>3000</v>
      </c>
    </row>
    <row r="9" spans="2:37" x14ac:dyDescent="0.2">
      <c r="B9" s="128" t="s">
        <v>65</v>
      </c>
      <c r="C9" s="51" t="s">
        <v>81</v>
      </c>
      <c r="D9" s="77">
        <v>5</v>
      </c>
      <c r="E9" s="79" t="s">
        <v>115</v>
      </c>
      <c r="F9" s="80" t="s">
        <v>30</v>
      </c>
      <c r="G9" s="55"/>
      <c r="H9" s="57"/>
      <c r="I9" s="57"/>
      <c r="J9" s="57"/>
      <c r="K9" s="86"/>
      <c r="L9" s="57"/>
      <c r="M9" s="55"/>
      <c r="N9" s="55"/>
      <c r="O9" s="57"/>
      <c r="P9" s="57"/>
      <c r="Q9" s="57"/>
      <c r="R9" s="57"/>
      <c r="S9" s="82"/>
      <c r="T9" s="57">
        <f t="shared" si="1"/>
        <v>0</v>
      </c>
      <c r="U9" s="57"/>
      <c r="V9" s="57"/>
      <c r="W9" s="57"/>
      <c r="X9" s="57"/>
      <c r="Y9" s="86"/>
      <c r="Z9" s="57"/>
      <c r="AA9" s="86">
        <v>0</v>
      </c>
      <c r="AB9" s="58"/>
      <c r="AC9" s="58"/>
      <c r="AD9" s="58"/>
      <c r="AE9" s="86">
        <v>0</v>
      </c>
      <c r="AF9" s="58"/>
      <c r="AG9" s="57"/>
      <c r="AH9" s="57"/>
      <c r="AI9" s="86">
        <v>0</v>
      </c>
      <c r="AJ9" s="41">
        <v>0</v>
      </c>
      <c r="AK9" s="100">
        <f t="shared" si="0"/>
        <v>0</v>
      </c>
    </row>
    <row r="10" spans="2:37" x14ac:dyDescent="0.2">
      <c r="B10" s="128"/>
      <c r="C10" s="15" t="s">
        <v>70</v>
      </c>
      <c r="D10" s="75">
        <v>6</v>
      </c>
      <c r="E10" s="73" t="s">
        <v>105</v>
      </c>
      <c r="F10" s="74" t="s">
        <v>29</v>
      </c>
      <c r="G10" s="33"/>
      <c r="H10" s="17"/>
      <c r="I10" s="17">
        <f>I9*G10</f>
        <v>0</v>
      </c>
      <c r="J10" s="17"/>
      <c r="K10" s="90">
        <v>0</v>
      </c>
      <c r="L10" s="17"/>
      <c r="M10" s="33"/>
      <c r="N10" s="33"/>
      <c r="O10" s="24"/>
      <c r="P10" s="24"/>
      <c r="Q10" s="24"/>
      <c r="R10" s="17">
        <f>O10*0.045</f>
        <v>0</v>
      </c>
      <c r="S10" s="20"/>
      <c r="T10" s="90">
        <f t="shared" si="1"/>
        <v>0</v>
      </c>
      <c r="U10" s="17"/>
      <c r="V10" s="24">
        <v>0</v>
      </c>
      <c r="W10" s="17"/>
      <c r="X10" s="17"/>
      <c r="Y10" s="90"/>
      <c r="Z10" s="17"/>
      <c r="AA10" s="90">
        <v>0</v>
      </c>
      <c r="AB10" s="10"/>
      <c r="AC10" s="10"/>
      <c r="AD10" s="10"/>
      <c r="AE10" s="10"/>
      <c r="AF10" s="10"/>
      <c r="AG10" s="17"/>
      <c r="AH10" s="17"/>
      <c r="AI10" s="17"/>
      <c r="AJ10" s="17"/>
      <c r="AK10" s="100">
        <f t="shared" si="0"/>
        <v>0</v>
      </c>
    </row>
    <row r="11" spans="2:37" x14ac:dyDescent="0.2">
      <c r="B11" s="128"/>
      <c r="C11" s="15" t="s">
        <v>71</v>
      </c>
      <c r="D11" s="75">
        <v>7</v>
      </c>
      <c r="E11" s="73" t="s">
        <v>114</v>
      </c>
      <c r="F11" s="74" t="s">
        <v>29</v>
      </c>
      <c r="G11" s="33"/>
      <c r="H11" s="17"/>
      <c r="I11" s="17">
        <f>I10*G11</f>
        <v>0</v>
      </c>
      <c r="J11" s="17"/>
      <c r="K11" s="90">
        <v>0</v>
      </c>
      <c r="L11" s="17"/>
      <c r="M11" s="33"/>
      <c r="N11" s="33"/>
      <c r="O11" s="24"/>
      <c r="P11" s="24"/>
      <c r="Q11" s="24"/>
      <c r="R11" s="17">
        <f>O11*0.045</f>
        <v>0</v>
      </c>
      <c r="S11" s="20"/>
      <c r="T11" s="90">
        <f t="shared" si="1"/>
        <v>0</v>
      </c>
      <c r="U11" s="17"/>
      <c r="V11" s="24">
        <v>0</v>
      </c>
      <c r="W11" s="17"/>
      <c r="X11" s="17"/>
      <c r="Y11" s="90"/>
      <c r="Z11" s="17"/>
      <c r="AA11" s="90">
        <v>0</v>
      </c>
      <c r="AB11" s="10"/>
      <c r="AC11" s="10"/>
      <c r="AD11" s="10"/>
      <c r="AE11" s="10"/>
      <c r="AF11" s="10"/>
      <c r="AG11" s="17"/>
      <c r="AH11" s="17"/>
      <c r="AI11" s="17"/>
      <c r="AJ11" s="17"/>
      <c r="AK11" s="100">
        <f t="shared" si="0"/>
        <v>0</v>
      </c>
    </row>
    <row r="12" spans="2:37" x14ac:dyDescent="0.2">
      <c r="B12" s="128"/>
      <c r="C12" s="51" t="s">
        <v>72</v>
      </c>
      <c r="D12" s="77">
        <v>8</v>
      </c>
      <c r="E12" s="79" t="s">
        <v>104</v>
      </c>
      <c r="F12" s="80" t="s">
        <v>30</v>
      </c>
      <c r="G12" s="55"/>
      <c r="H12" s="57"/>
      <c r="I12" s="57"/>
      <c r="J12" s="57"/>
      <c r="K12" s="86"/>
      <c r="L12" s="57"/>
      <c r="M12" s="55"/>
      <c r="N12" s="55"/>
      <c r="O12" s="57"/>
      <c r="P12" s="57"/>
      <c r="Q12" s="57"/>
      <c r="R12" s="57"/>
      <c r="S12" s="82"/>
      <c r="T12" s="57">
        <f t="shared" si="1"/>
        <v>0</v>
      </c>
      <c r="U12" s="57"/>
      <c r="V12" s="57"/>
      <c r="W12" s="57"/>
      <c r="X12" s="57"/>
      <c r="Y12" s="86"/>
      <c r="Z12" s="57"/>
      <c r="AA12" s="86">
        <v>0</v>
      </c>
      <c r="AB12" s="58"/>
      <c r="AC12" s="58"/>
      <c r="AD12" s="58"/>
      <c r="AE12" s="86">
        <v>0</v>
      </c>
      <c r="AF12" s="58"/>
      <c r="AG12" s="57"/>
      <c r="AH12" s="57"/>
      <c r="AI12" s="86">
        <v>0</v>
      </c>
      <c r="AJ12" s="41">
        <v>0</v>
      </c>
      <c r="AK12" s="100">
        <f t="shared" si="0"/>
        <v>0</v>
      </c>
    </row>
    <row r="13" spans="2:37" x14ac:dyDescent="0.2">
      <c r="B13" s="128" t="s">
        <v>66</v>
      </c>
      <c r="C13" s="15" t="s">
        <v>73</v>
      </c>
      <c r="D13" s="75">
        <v>9</v>
      </c>
      <c r="E13" s="73" t="s">
        <v>103</v>
      </c>
      <c r="F13" s="74" t="s">
        <v>29</v>
      </c>
      <c r="G13" s="33"/>
      <c r="H13" s="21"/>
      <c r="I13" s="17"/>
      <c r="J13" s="17"/>
      <c r="K13" s="90">
        <v>0</v>
      </c>
      <c r="L13" s="17"/>
      <c r="M13" s="33"/>
      <c r="N13" s="33"/>
      <c r="O13" s="24"/>
      <c r="P13" s="24"/>
      <c r="Q13" s="24"/>
      <c r="R13" s="17">
        <f>O13*0.045</f>
        <v>0</v>
      </c>
      <c r="S13" s="20"/>
      <c r="T13" s="90">
        <f t="shared" si="1"/>
        <v>0</v>
      </c>
      <c r="U13" s="17"/>
      <c r="V13" s="24"/>
      <c r="W13" s="17"/>
      <c r="X13" s="17"/>
      <c r="Y13" s="90"/>
      <c r="Z13" s="17"/>
      <c r="AA13" s="90">
        <v>0</v>
      </c>
      <c r="AB13" s="10"/>
      <c r="AC13" s="10"/>
      <c r="AD13" s="10"/>
      <c r="AE13" s="10"/>
      <c r="AF13" s="10"/>
      <c r="AG13" s="17"/>
      <c r="AH13" s="17"/>
      <c r="AI13" s="17"/>
      <c r="AJ13" s="17"/>
      <c r="AK13" s="100">
        <f t="shared" si="0"/>
        <v>0</v>
      </c>
    </row>
    <row r="14" spans="2:37" x14ac:dyDescent="0.2">
      <c r="B14" s="128"/>
      <c r="C14" s="51" t="s">
        <v>74</v>
      </c>
      <c r="D14" s="77">
        <v>10</v>
      </c>
      <c r="E14" s="79" t="s">
        <v>113</v>
      </c>
      <c r="F14" s="81" t="s">
        <v>30</v>
      </c>
      <c r="G14" s="55"/>
      <c r="H14" s="57"/>
      <c r="I14" s="57"/>
      <c r="J14" s="57"/>
      <c r="K14" s="86"/>
      <c r="L14" s="57"/>
      <c r="M14" s="55"/>
      <c r="N14" s="55"/>
      <c r="O14" s="57"/>
      <c r="P14" s="57"/>
      <c r="Q14" s="57"/>
      <c r="R14" s="57"/>
      <c r="S14" s="82"/>
      <c r="T14" s="57">
        <f t="shared" si="1"/>
        <v>0</v>
      </c>
      <c r="U14" s="57"/>
      <c r="V14" s="57"/>
      <c r="W14" s="57"/>
      <c r="X14" s="57"/>
      <c r="Y14" s="86"/>
      <c r="Z14" s="57"/>
      <c r="AA14" s="86">
        <v>0</v>
      </c>
      <c r="AB14" s="58"/>
      <c r="AC14" s="58"/>
      <c r="AD14" s="58"/>
      <c r="AE14" s="86">
        <v>0</v>
      </c>
      <c r="AF14" s="58"/>
      <c r="AG14" s="57"/>
      <c r="AH14" s="57"/>
      <c r="AI14" s="86">
        <v>0</v>
      </c>
      <c r="AJ14" s="41">
        <v>0</v>
      </c>
      <c r="AK14" s="100">
        <f t="shared" si="0"/>
        <v>0</v>
      </c>
    </row>
    <row r="15" spans="2:37" x14ac:dyDescent="0.2">
      <c r="B15" s="128"/>
      <c r="C15" s="51" t="s">
        <v>75</v>
      </c>
      <c r="D15" s="77">
        <v>11</v>
      </c>
      <c r="E15" s="79" t="s">
        <v>112</v>
      </c>
      <c r="F15" s="81" t="s">
        <v>30</v>
      </c>
      <c r="G15" s="55"/>
      <c r="H15" s="57"/>
      <c r="I15" s="57"/>
      <c r="J15" s="57"/>
      <c r="K15" s="86"/>
      <c r="L15" s="57"/>
      <c r="M15" s="55"/>
      <c r="N15" s="55"/>
      <c r="O15" s="57"/>
      <c r="P15" s="57"/>
      <c r="Q15" s="57"/>
      <c r="R15" s="57"/>
      <c r="S15" s="82"/>
      <c r="T15" s="57">
        <f t="shared" si="1"/>
        <v>0</v>
      </c>
      <c r="U15" s="57"/>
      <c r="V15" s="57"/>
      <c r="W15" s="57"/>
      <c r="X15" s="57"/>
      <c r="Y15" s="86"/>
      <c r="Z15" s="57"/>
      <c r="AA15" s="86">
        <v>3000</v>
      </c>
      <c r="AB15" s="58"/>
      <c r="AC15" s="58"/>
      <c r="AD15" s="58"/>
      <c r="AE15" s="86">
        <v>0</v>
      </c>
      <c r="AF15" s="58"/>
      <c r="AG15" s="57"/>
      <c r="AH15" s="57"/>
      <c r="AI15" s="86">
        <v>0</v>
      </c>
      <c r="AJ15" s="41">
        <v>0</v>
      </c>
      <c r="AK15" s="100">
        <f t="shared" si="0"/>
        <v>3000</v>
      </c>
    </row>
    <row r="16" spans="2:37" x14ac:dyDescent="0.2">
      <c r="B16" s="128"/>
      <c r="C16" s="15" t="s">
        <v>80</v>
      </c>
      <c r="D16" s="75">
        <v>12</v>
      </c>
      <c r="E16" s="73" t="s">
        <v>111</v>
      </c>
      <c r="F16" s="74" t="s">
        <v>29</v>
      </c>
      <c r="G16" s="33"/>
      <c r="H16" s="17"/>
      <c r="I16" s="17">
        <f>I15*G16</f>
        <v>0</v>
      </c>
      <c r="J16" s="17"/>
      <c r="K16" s="90">
        <v>0</v>
      </c>
      <c r="L16" s="17"/>
      <c r="M16" s="33"/>
      <c r="N16" s="33"/>
      <c r="O16" s="24"/>
      <c r="P16" s="24"/>
      <c r="Q16" s="24"/>
      <c r="R16" s="17">
        <f>O16*0.045</f>
        <v>0</v>
      </c>
      <c r="S16" s="20"/>
      <c r="T16" s="90">
        <f t="shared" si="1"/>
        <v>0</v>
      </c>
      <c r="U16" s="17"/>
      <c r="V16" s="24"/>
      <c r="W16" s="17"/>
      <c r="X16" s="17"/>
      <c r="Y16" s="90"/>
      <c r="Z16" s="17"/>
      <c r="AA16" s="90">
        <v>0</v>
      </c>
      <c r="AB16" s="10"/>
      <c r="AC16" s="10"/>
      <c r="AD16" s="10"/>
      <c r="AE16" s="10"/>
      <c r="AF16" s="10"/>
      <c r="AG16" s="17"/>
      <c r="AH16" s="17"/>
      <c r="AI16" s="17"/>
      <c r="AJ16" s="17"/>
      <c r="AK16" s="100">
        <f t="shared" si="0"/>
        <v>0</v>
      </c>
    </row>
    <row r="17" spans="1:37" x14ac:dyDescent="0.2">
      <c r="B17" s="142" t="s">
        <v>67</v>
      </c>
      <c r="C17" s="15" t="s">
        <v>76</v>
      </c>
      <c r="D17" s="75">
        <v>13</v>
      </c>
      <c r="E17" s="73" t="s">
        <v>110</v>
      </c>
      <c r="F17" s="74" t="s">
        <v>29</v>
      </c>
      <c r="G17" s="33"/>
      <c r="H17" s="17"/>
      <c r="I17" s="17"/>
      <c r="J17" s="17"/>
      <c r="K17" s="90"/>
      <c r="L17" s="17"/>
      <c r="M17" s="33"/>
      <c r="N17" s="33"/>
      <c r="O17" s="24"/>
      <c r="P17" s="24"/>
      <c r="Q17" s="24"/>
      <c r="R17" s="17"/>
      <c r="S17" s="20"/>
      <c r="T17" s="90"/>
      <c r="U17" s="17"/>
      <c r="V17" s="24"/>
      <c r="W17" s="17"/>
      <c r="X17" s="17"/>
      <c r="Y17" s="90"/>
      <c r="Z17" s="17"/>
      <c r="AA17" s="90"/>
      <c r="AB17" s="10"/>
      <c r="AC17" s="10"/>
      <c r="AD17" s="10"/>
      <c r="AE17" s="10"/>
      <c r="AF17" s="10"/>
      <c r="AG17" s="17"/>
      <c r="AH17" s="17"/>
      <c r="AI17" s="17"/>
      <c r="AJ17" s="17"/>
      <c r="AK17" s="100"/>
    </row>
    <row r="18" spans="1:37" x14ac:dyDescent="0.2">
      <c r="B18" s="143"/>
      <c r="C18" s="51" t="s">
        <v>77</v>
      </c>
      <c r="D18" s="77">
        <v>14</v>
      </c>
      <c r="E18" s="79" t="s">
        <v>109</v>
      </c>
      <c r="F18" s="81" t="s">
        <v>30</v>
      </c>
      <c r="G18" s="82"/>
      <c r="H18" s="82"/>
      <c r="I18" s="82"/>
      <c r="J18" s="57"/>
      <c r="K18" s="93"/>
      <c r="L18" s="57"/>
      <c r="M18" s="54"/>
      <c r="N18" s="54"/>
      <c r="O18" s="54"/>
      <c r="P18" s="83"/>
      <c r="Q18" s="83"/>
      <c r="R18" s="83"/>
      <c r="S18" s="82"/>
      <c r="T18" s="83"/>
      <c r="U18" s="57"/>
      <c r="V18" s="54"/>
      <c r="W18" s="57"/>
      <c r="X18" s="57"/>
      <c r="Y18" s="94"/>
      <c r="Z18" s="57"/>
      <c r="AA18" s="86"/>
      <c r="AB18" s="58"/>
      <c r="AC18" s="58"/>
      <c r="AD18" s="58"/>
      <c r="AE18" s="86"/>
      <c r="AF18" s="58"/>
      <c r="AG18" s="57"/>
      <c r="AH18" s="57"/>
      <c r="AI18" s="86"/>
      <c r="AJ18" s="41"/>
      <c r="AK18" s="100"/>
    </row>
    <row r="19" spans="1:37" x14ac:dyDescent="0.2">
      <c r="B19" s="144"/>
      <c r="C19" s="15" t="s">
        <v>78</v>
      </c>
      <c r="D19" s="75">
        <v>15</v>
      </c>
      <c r="E19" s="73" t="s">
        <v>108</v>
      </c>
      <c r="F19" s="76" t="s">
        <v>29</v>
      </c>
      <c r="G19" s="33"/>
      <c r="H19" s="17"/>
      <c r="I19" s="17">
        <f>I16*G19</f>
        <v>0</v>
      </c>
      <c r="J19" s="17"/>
      <c r="K19" s="90">
        <v>0</v>
      </c>
      <c r="L19" s="17"/>
      <c r="M19" s="33"/>
      <c r="N19" s="33"/>
      <c r="O19" s="24"/>
      <c r="P19" s="24"/>
      <c r="Q19" s="24"/>
      <c r="R19" s="17">
        <f>O19*0.045</f>
        <v>0</v>
      </c>
      <c r="S19" s="20"/>
      <c r="T19" s="90">
        <f>SUM(O19:R19)*M19*N19</f>
        <v>0</v>
      </c>
      <c r="U19" s="17"/>
      <c r="V19" s="24"/>
      <c r="W19" s="17"/>
      <c r="X19" s="17"/>
      <c r="Y19" s="90"/>
      <c r="Z19" s="17"/>
      <c r="AA19" s="90">
        <v>0</v>
      </c>
      <c r="AB19" s="10"/>
      <c r="AC19" s="10"/>
      <c r="AD19" s="10"/>
      <c r="AE19" s="10"/>
      <c r="AF19" s="10"/>
      <c r="AG19" s="17"/>
      <c r="AH19" s="17"/>
      <c r="AI19" s="17"/>
      <c r="AJ19" s="17"/>
      <c r="AK19" s="100">
        <f>SUM(S19:AJ19)+SUM(I19:L19)</f>
        <v>0</v>
      </c>
    </row>
    <row r="20" spans="1:37" x14ac:dyDescent="0.2">
      <c r="B20" s="35"/>
      <c r="C20" s="12"/>
      <c r="D20" s="37"/>
      <c r="E20" s="38"/>
      <c r="F20" s="39"/>
      <c r="G20" s="59" t="s">
        <v>95</v>
      </c>
      <c r="H20" s="60"/>
      <c r="I20" s="60">
        <f>SUM(I4:I19)</f>
        <v>0</v>
      </c>
      <c r="J20" s="60">
        <f>SUM(J4:J19)</f>
        <v>0</v>
      </c>
      <c r="K20" s="60">
        <f>SUM(K4:K19)</f>
        <v>0</v>
      </c>
      <c r="L20" s="60">
        <f>SUM(L4:L19)</f>
        <v>0</v>
      </c>
      <c r="M20" s="60"/>
      <c r="N20" s="60"/>
      <c r="O20" s="60"/>
      <c r="P20" s="60"/>
      <c r="Q20" s="60"/>
      <c r="R20" s="60"/>
      <c r="S20" s="60">
        <f t="shared" ref="S20:AJ20" si="2">SUM(S4:S19)</f>
        <v>0</v>
      </c>
      <c r="T20" s="60">
        <f t="shared" si="2"/>
        <v>0</v>
      </c>
      <c r="U20" s="60">
        <f t="shared" si="2"/>
        <v>0</v>
      </c>
      <c r="V20" s="60">
        <f t="shared" si="2"/>
        <v>0</v>
      </c>
      <c r="W20" s="60">
        <f t="shared" si="2"/>
        <v>0</v>
      </c>
      <c r="X20" s="60">
        <f t="shared" si="2"/>
        <v>0</v>
      </c>
      <c r="Y20" s="60">
        <f t="shared" si="2"/>
        <v>0</v>
      </c>
      <c r="Z20" s="60">
        <f t="shared" si="2"/>
        <v>0</v>
      </c>
      <c r="AA20" s="60">
        <f t="shared" si="2"/>
        <v>6000</v>
      </c>
      <c r="AB20" s="60">
        <f t="shared" si="2"/>
        <v>0</v>
      </c>
      <c r="AC20" s="60">
        <f t="shared" si="2"/>
        <v>0</v>
      </c>
      <c r="AD20" s="60">
        <f t="shared" si="2"/>
        <v>0</v>
      </c>
      <c r="AE20" s="60">
        <f t="shared" si="2"/>
        <v>0</v>
      </c>
      <c r="AF20" s="60">
        <f t="shared" si="2"/>
        <v>0</v>
      </c>
      <c r="AG20" s="60">
        <f t="shared" si="2"/>
        <v>0</v>
      </c>
      <c r="AH20" s="60">
        <f t="shared" si="2"/>
        <v>0</v>
      </c>
      <c r="AI20" s="60">
        <f t="shared" si="2"/>
        <v>0</v>
      </c>
      <c r="AJ20" s="60">
        <f t="shared" si="2"/>
        <v>0</v>
      </c>
      <c r="AK20" s="99">
        <f>SUM(AK5:AK19)</f>
        <v>6000</v>
      </c>
    </row>
    <row r="21" spans="1:37" x14ac:dyDescent="0.2">
      <c r="E21" s="22"/>
      <c r="L21" s="18"/>
      <c r="N21" s="19"/>
      <c r="P21" s="19"/>
      <c r="Q21" s="19"/>
      <c r="R21" s="19"/>
      <c r="S21" s="19"/>
      <c r="T21" s="19"/>
      <c r="Y21" s="18"/>
    </row>
    <row r="22" spans="1:37" ht="17" thickBot="1" x14ac:dyDescent="0.25">
      <c r="E22" s="13"/>
      <c r="F22" s="45" t="s">
        <v>54</v>
      </c>
      <c r="G22" s="45" t="s">
        <v>55</v>
      </c>
      <c r="H22" s="45" t="s">
        <v>56</v>
      </c>
      <c r="I22" s="45" t="s">
        <v>57</v>
      </c>
      <c r="J22" s="45" t="s">
        <v>58</v>
      </c>
      <c r="K22" s="45" t="s">
        <v>59</v>
      </c>
      <c r="L22" s="18"/>
      <c r="N22" s="19"/>
      <c r="P22" s="19"/>
      <c r="Q22" s="19"/>
      <c r="R22" s="19"/>
      <c r="S22" s="19"/>
      <c r="T22" s="19"/>
      <c r="Y22" s="18"/>
    </row>
    <row r="23" spans="1:37" ht="15.5" customHeight="1" x14ac:dyDescent="0.2">
      <c r="D23" s="124" t="s">
        <v>44</v>
      </c>
      <c r="E23" s="25" t="s">
        <v>45</v>
      </c>
      <c r="F23" s="26"/>
      <c r="G23" s="26"/>
      <c r="H23" s="26"/>
      <c r="I23" s="26"/>
      <c r="J23" s="26"/>
      <c r="K23" s="27"/>
      <c r="L23" s="18"/>
      <c r="N23" s="19"/>
      <c r="P23" s="19"/>
      <c r="Q23" s="19"/>
      <c r="R23" s="19"/>
      <c r="S23" s="19"/>
      <c r="T23" s="19"/>
      <c r="Y23" s="18"/>
    </row>
    <row r="24" spans="1:37" x14ac:dyDescent="0.2">
      <c r="D24" s="124"/>
      <c r="E24" s="6" t="s">
        <v>46</v>
      </c>
      <c r="F24" s="17">
        <f>SUM(I5:I8)</f>
        <v>0</v>
      </c>
      <c r="G24" s="17">
        <f>SUM(I9:I12)</f>
        <v>0</v>
      </c>
      <c r="H24" s="17">
        <f>SUM(I13:I16)</f>
        <v>0</v>
      </c>
      <c r="I24" s="17">
        <f>SUM(I19:I19)</f>
        <v>0</v>
      </c>
      <c r="J24" s="17"/>
      <c r="K24" s="28"/>
      <c r="L24" s="18">
        <f>SUM(F24:K24)</f>
        <v>0</v>
      </c>
      <c r="N24" s="19"/>
      <c r="P24" s="19"/>
      <c r="Q24" s="19"/>
      <c r="R24" s="19"/>
      <c r="S24" s="19"/>
      <c r="T24" s="19"/>
      <c r="Y24" s="18"/>
    </row>
    <row r="25" spans="1:37" x14ac:dyDescent="0.2">
      <c r="D25" s="124"/>
      <c r="E25" s="6" t="s">
        <v>47</v>
      </c>
      <c r="F25" s="17">
        <f>SUM(J5:L8)</f>
        <v>0</v>
      </c>
      <c r="G25" s="17">
        <f>SUM(J9:L12)</f>
        <v>0</v>
      </c>
      <c r="H25" s="17">
        <f>SUM(J13:L16)</f>
        <v>0</v>
      </c>
      <c r="I25" s="17">
        <f>SUM(J19:L19)</f>
        <v>0</v>
      </c>
      <c r="J25" s="17"/>
      <c r="K25" s="28"/>
      <c r="L25" s="18">
        <f>SUM(F25:K25)</f>
        <v>0</v>
      </c>
      <c r="N25" s="19"/>
      <c r="P25" s="19"/>
      <c r="Q25" s="19"/>
      <c r="R25" s="19"/>
      <c r="S25" s="19"/>
      <c r="T25" s="19"/>
      <c r="Y25" s="18"/>
    </row>
    <row r="26" spans="1:37" x14ac:dyDescent="0.2">
      <c r="D26" s="124"/>
      <c r="E26" s="4" t="s">
        <v>18</v>
      </c>
      <c r="F26" s="17"/>
      <c r="G26" s="17"/>
      <c r="H26" s="17"/>
      <c r="I26" s="17"/>
      <c r="J26" s="17"/>
      <c r="K26" s="28"/>
      <c r="L26" s="18"/>
      <c r="N26" s="19"/>
      <c r="P26" s="19"/>
      <c r="Q26" s="19"/>
      <c r="R26" s="19"/>
      <c r="S26" s="19"/>
      <c r="T26" s="19"/>
      <c r="Y26" s="18"/>
    </row>
    <row r="27" spans="1:37" x14ac:dyDescent="0.2">
      <c r="D27" s="124"/>
      <c r="E27" s="6" t="s">
        <v>52</v>
      </c>
      <c r="F27" s="17">
        <f>SUM(T5:T8)</f>
        <v>0</v>
      </c>
      <c r="G27" s="17">
        <f>SUM(T9:T12)</f>
        <v>0</v>
      </c>
      <c r="H27" s="17">
        <f>SUM(T13:T16)</f>
        <v>0</v>
      </c>
      <c r="I27" s="17">
        <f>SUM(T19:T19)</f>
        <v>0</v>
      </c>
      <c r="J27" s="17"/>
      <c r="K27" s="28"/>
      <c r="L27" s="18">
        <f t="shared" ref="L27:L45" si="3">SUM(F27:K27)</f>
        <v>0</v>
      </c>
      <c r="Y27" s="18"/>
      <c r="AA27" s="18"/>
      <c r="AB27" s="18"/>
      <c r="AC27" s="18"/>
      <c r="AD27" s="18"/>
      <c r="AE27" s="18"/>
      <c r="AF27" s="18"/>
    </row>
    <row r="28" spans="1:37" x14ac:dyDescent="0.2">
      <c r="D28" s="124"/>
      <c r="E28" s="6" t="s">
        <v>17</v>
      </c>
      <c r="F28" s="17"/>
      <c r="G28" s="17"/>
      <c r="H28" s="17"/>
      <c r="I28" s="17"/>
      <c r="J28" s="17"/>
      <c r="K28" s="28"/>
      <c r="L28" s="18">
        <f t="shared" si="3"/>
        <v>0</v>
      </c>
      <c r="Y28" s="18"/>
      <c r="AA28" s="18"/>
      <c r="AB28" s="18"/>
      <c r="AC28" s="18"/>
      <c r="AD28" s="18"/>
      <c r="AE28" s="18"/>
      <c r="AF28" s="18"/>
    </row>
    <row r="29" spans="1:37" x14ac:dyDescent="0.2">
      <c r="D29" s="124"/>
      <c r="E29" s="4" t="s">
        <v>97</v>
      </c>
      <c r="F29" s="17"/>
      <c r="G29" s="17"/>
      <c r="H29" s="17"/>
      <c r="I29" s="17"/>
      <c r="J29" s="17"/>
      <c r="K29" s="28"/>
      <c r="L29" s="18">
        <f t="shared" si="3"/>
        <v>0</v>
      </c>
      <c r="N29" s="19"/>
      <c r="Y29" s="18"/>
      <c r="AA29" s="18"/>
      <c r="AB29" s="18"/>
      <c r="AC29" s="18"/>
      <c r="AD29" s="18"/>
      <c r="AE29" s="18"/>
      <c r="AF29" s="18"/>
    </row>
    <row r="30" spans="1:37" x14ac:dyDescent="0.2">
      <c r="D30" s="124"/>
      <c r="E30" s="47" t="s">
        <v>101</v>
      </c>
      <c r="F30" s="17">
        <f>SUM(V5:V8)</f>
        <v>0</v>
      </c>
      <c r="G30" s="17">
        <f>SUM(V9:V12)</f>
        <v>0</v>
      </c>
      <c r="H30" s="17">
        <f>SUM(V13:V16)</f>
        <v>0</v>
      </c>
      <c r="I30" s="17">
        <f>SUM(V19:V19)</f>
        <v>0</v>
      </c>
      <c r="J30" s="17"/>
      <c r="K30" s="28"/>
      <c r="L30" s="18">
        <f t="shared" si="3"/>
        <v>0</v>
      </c>
      <c r="N30" s="19"/>
      <c r="Y30" s="18"/>
      <c r="AA30" s="18"/>
      <c r="AB30" s="18"/>
      <c r="AC30" s="18"/>
      <c r="AD30" s="18"/>
      <c r="AE30" s="18"/>
      <c r="AF30" s="18"/>
    </row>
    <row r="31" spans="1:37" x14ac:dyDescent="0.2">
      <c r="D31" s="124"/>
      <c r="E31" s="4" t="s">
        <v>20</v>
      </c>
      <c r="F31" s="17"/>
      <c r="G31" s="17"/>
      <c r="H31" s="17"/>
      <c r="I31" s="17"/>
      <c r="J31" s="17"/>
      <c r="K31" s="28"/>
      <c r="L31" s="18">
        <f t="shared" si="3"/>
        <v>0</v>
      </c>
    </row>
    <row r="32" spans="1:37" s="7" customFormat="1" ht="17" thickBot="1" x14ac:dyDescent="0.25">
      <c r="A32" s="21"/>
      <c r="B32" s="21"/>
      <c r="C32" s="21"/>
      <c r="D32" s="125"/>
      <c r="E32" s="29" t="s">
        <v>21</v>
      </c>
      <c r="F32" s="30"/>
      <c r="G32" s="30"/>
      <c r="H32" s="30"/>
      <c r="I32" s="30"/>
      <c r="J32" s="30"/>
      <c r="K32" s="31"/>
      <c r="L32" s="18">
        <f t="shared" si="3"/>
        <v>0</v>
      </c>
      <c r="N32" s="19"/>
      <c r="AK32" s="21"/>
    </row>
    <row r="33" spans="1:37" s="7" customFormat="1" x14ac:dyDescent="0.2">
      <c r="A33" s="21"/>
      <c r="B33" s="21"/>
      <c r="C33" s="21"/>
      <c r="D33" s="126" t="s">
        <v>87</v>
      </c>
      <c r="E33" s="46" t="s">
        <v>45</v>
      </c>
      <c r="F33" s="61">
        <f>SUM(Y5:Y8)</f>
        <v>0</v>
      </c>
      <c r="G33" s="61">
        <f>SUM(Y9:Y12)</f>
        <v>0</v>
      </c>
      <c r="H33" s="61">
        <f>SUM(Y13:Y16)</f>
        <v>0</v>
      </c>
      <c r="I33" s="61">
        <f>SUM(Y19:Y19)</f>
        <v>0</v>
      </c>
      <c r="J33" s="61"/>
      <c r="K33" s="62"/>
      <c r="L33" s="18">
        <f t="shared" si="3"/>
        <v>0</v>
      </c>
      <c r="AK33" s="21"/>
    </row>
    <row r="34" spans="1:37" s="7" customFormat="1" x14ac:dyDescent="0.2">
      <c r="A34" s="21"/>
      <c r="B34" s="21"/>
      <c r="C34" s="21"/>
      <c r="D34" s="126"/>
      <c r="E34" s="47" t="s">
        <v>27</v>
      </c>
      <c r="F34" s="17"/>
      <c r="G34" s="17"/>
      <c r="H34" s="17"/>
      <c r="I34" s="17"/>
      <c r="J34" s="17"/>
      <c r="K34" s="28"/>
      <c r="L34" s="18">
        <f t="shared" si="3"/>
        <v>0</v>
      </c>
      <c r="AK34" s="21"/>
    </row>
    <row r="35" spans="1:37" s="7" customFormat="1" ht="17" x14ac:dyDescent="0.2">
      <c r="A35" s="21"/>
      <c r="B35" s="21"/>
      <c r="C35" s="21"/>
      <c r="D35" s="126"/>
      <c r="E35" s="48" t="s">
        <v>5</v>
      </c>
      <c r="F35" s="95">
        <f>SUM(AA5:AA8)</f>
        <v>3000</v>
      </c>
      <c r="G35" s="17">
        <f>SUM(AA9:AA12)</f>
        <v>0</v>
      </c>
      <c r="H35" s="17">
        <f>SUM(AA13:AA16)</f>
        <v>3000</v>
      </c>
      <c r="I35" s="17">
        <f>SUM(AA17:AA19)</f>
        <v>0</v>
      </c>
      <c r="J35" s="8"/>
      <c r="K35" s="63"/>
      <c r="L35" s="18">
        <f t="shared" si="3"/>
        <v>6000</v>
      </c>
      <c r="AK35" s="21"/>
    </row>
    <row r="36" spans="1:37" s="7" customFormat="1" ht="17" x14ac:dyDescent="0.2">
      <c r="A36" s="21"/>
      <c r="B36" s="21"/>
      <c r="C36" s="21"/>
      <c r="D36" s="126"/>
      <c r="E36" s="48" t="s">
        <v>93</v>
      </c>
      <c r="F36" s="23"/>
      <c r="G36" s="8"/>
      <c r="H36" s="8"/>
      <c r="I36" s="8"/>
      <c r="J36" s="8"/>
      <c r="K36" s="63"/>
      <c r="L36" s="18">
        <f t="shared" si="3"/>
        <v>0</v>
      </c>
      <c r="AK36" s="21"/>
    </row>
    <row r="37" spans="1:37" s="7" customFormat="1" ht="17" x14ac:dyDescent="0.2">
      <c r="A37" s="21"/>
      <c r="B37" s="21"/>
      <c r="C37" s="21"/>
      <c r="D37" s="126"/>
      <c r="E37" s="48" t="s">
        <v>92</v>
      </c>
      <c r="F37" s="23"/>
      <c r="G37" s="8"/>
      <c r="H37" s="8"/>
      <c r="I37" s="8"/>
      <c r="J37" s="8"/>
      <c r="K37" s="63"/>
      <c r="L37" s="18">
        <f t="shared" si="3"/>
        <v>0</v>
      </c>
      <c r="AK37" s="21"/>
    </row>
    <row r="38" spans="1:37" s="7" customFormat="1" ht="17" x14ac:dyDescent="0.2">
      <c r="A38" s="21"/>
      <c r="B38" s="21"/>
      <c r="C38" s="21"/>
      <c r="D38" s="126"/>
      <c r="E38" s="48" t="s">
        <v>91</v>
      </c>
      <c r="F38" s="23"/>
      <c r="G38" s="8"/>
      <c r="H38" s="8"/>
      <c r="I38" s="8"/>
      <c r="J38" s="8"/>
      <c r="K38" s="63"/>
      <c r="L38" s="18">
        <f t="shared" si="3"/>
        <v>0</v>
      </c>
      <c r="AK38" s="21"/>
    </row>
    <row r="39" spans="1:37" s="7" customFormat="1" ht="17" x14ac:dyDescent="0.2">
      <c r="A39" s="21"/>
      <c r="B39" s="21"/>
      <c r="C39" s="21"/>
      <c r="D39" s="126"/>
      <c r="E39" s="48" t="s">
        <v>25</v>
      </c>
      <c r="F39" s="95">
        <f>SUM(AE5:AE8)</f>
        <v>0</v>
      </c>
      <c r="G39" s="17">
        <f>SUM(AE9:AE12)</f>
        <v>0</v>
      </c>
      <c r="H39" s="96">
        <f>SUM(AE13:AE16)</f>
        <v>0</v>
      </c>
      <c r="I39" s="96">
        <f>SUM(AE19:AE19)</f>
        <v>0</v>
      </c>
      <c r="J39" s="8"/>
      <c r="K39" s="63"/>
      <c r="L39" s="18">
        <f t="shared" si="3"/>
        <v>0</v>
      </c>
      <c r="AK39" s="21"/>
    </row>
    <row r="40" spans="1:37" s="7" customFormat="1" ht="17" x14ac:dyDescent="0.2">
      <c r="A40" s="21"/>
      <c r="B40" s="21"/>
      <c r="C40" s="21"/>
      <c r="D40" s="126"/>
      <c r="E40" s="48" t="s">
        <v>90</v>
      </c>
      <c r="F40" s="23"/>
      <c r="G40" s="8"/>
      <c r="H40" s="8"/>
      <c r="I40" s="8"/>
      <c r="J40" s="8"/>
      <c r="K40" s="63"/>
      <c r="L40" s="18">
        <f t="shared" si="3"/>
        <v>0</v>
      </c>
      <c r="AK40" s="21"/>
    </row>
    <row r="41" spans="1:37" s="7" customFormat="1" ht="17" x14ac:dyDescent="0.2">
      <c r="A41" s="21"/>
      <c r="B41" s="21"/>
      <c r="C41" s="21"/>
      <c r="D41" s="126"/>
      <c r="E41" s="48" t="s">
        <v>89</v>
      </c>
      <c r="F41" s="23"/>
      <c r="G41" s="8"/>
      <c r="H41" s="8"/>
      <c r="I41" s="8"/>
      <c r="J41" s="8"/>
      <c r="K41" s="63"/>
      <c r="L41" s="18">
        <f t="shared" si="3"/>
        <v>0</v>
      </c>
      <c r="AK41" s="21"/>
    </row>
    <row r="42" spans="1:37" s="7" customFormat="1" ht="17" x14ac:dyDescent="0.2">
      <c r="A42" s="21"/>
      <c r="B42" s="21"/>
      <c r="C42" s="21"/>
      <c r="D42" s="126"/>
      <c r="E42" s="48" t="s">
        <v>23</v>
      </c>
      <c r="F42" s="23"/>
      <c r="G42" s="8"/>
      <c r="H42" s="8"/>
      <c r="I42" s="8"/>
      <c r="J42" s="8"/>
      <c r="K42" s="63"/>
      <c r="L42" s="18">
        <f t="shared" si="3"/>
        <v>0</v>
      </c>
      <c r="AK42" s="21"/>
    </row>
    <row r="43" spans="1:37" s="7" customFormat="1" ht="17" x14ac:dyDescent="0.2">
      <c r="A43" s="21"/>
      <c r="B43" s="21"/>
      <c r="C43" s="21"/>
      <c r="D43" s="126"/>
      <c r="E43" s="48" t="s">
        <v>24</v>
      </c>
      <c r="F43" s="95">
        <f>SUM(AI5:AI8)</f>
        <v>0</v>
      </c>
      <c r="G43" s="17">
        <f>SUM(AI9:AI12)</f>
        <v>0</v>
      </c>
      <c r="H43" s="17">
        <f>SUM(AI13:AI16)</f>
        <v>0</v>
      </c>
      <c r="I43" s="17">
        <f>SUM(AI19:AI19)</f>
        <v>0</v>
      </c>
      <c r="J43" s="8"/>
      <c r="K43" s="63"/>
      <c r="L43" s="18">
        <f t="shared" si="3"/>
        <v>0</v>
      </c>
      <c r="AK43" s="21"/>
    </row>
    <row r="44" spans="1:37" s="7" customFormat="1" ht="18" thickBot="1" x14ac:dyDescent="0.25">
      <c r="A44" s="21"/>
      <c r="B44" s="21"/>
      <c r="C44" s="21"/>
      <c r="D44" s="126"/>
      <c r="E44" s="49" t="s">
        <v>88</v>
      </c>
      <c r="F44" s="97">
        <f>SUM(AJ5:AJ8)</f>
        <v>0</v>
      </c>
      <c r="G44" s="30">
        <f>SUM(AJ9:AJ12)</f>
        <v>0</v>
      </c>
      <c r="H44" s="30">
        <f>SUM(AJ13:AJ16)</f>
        <v>0</v>
      </c>
      <c r="I44" s="30">
        <f>SUM(AJ19:AJ19)</f>
        <v>0</v>
      </c>
      <c r="J44" s="64"/>
      <c r="K44" s="65"/>
      <c r="L44" s="18">
        <f t="shared" si="3"/>
        <v>0</v>
      </c>
      <c r="AK44" s="21"/>
    </row>
    <row r="45" spans="1:37" s="7" customFormat="1" x14ac:dyDescent="0.2">
      <c r="A45" s="21"/>
      <c r="B45" s="21"/>
      <c r="C45" s="21"/>
      <c r="D45" s="21"/>
      <c r="E45" s="68" t="s">
        <v>98</v>
      </c>
      <c r="F45" s="69">
        <f t="shared" ref="F45:K45" si="4">SUM(F23:F44)</f>
        <v>3000</v>
      </c>
      <c r="G45" s="69">
        <f t="shared" si="4"/>
        <v>0</v>
      </c>
      <c r="H45" s="69">
        <f t="shared" si="4"/>
        <v>3000</v>
      </c>
      <c r="I45" s="69">
        <f t="shared" si="4"/>
        <v>0</v>
      </c>
      <c r="J45" s="69">
        <f t="shared" si="4"/>
        <v>0</v>
      </c>
      <c r="K45" s="69">
        <f t="shared" si="4"/>
        <v>0</v>
      </c>
      <c r="L45" s="18">
        <f t="shared" si="3"/>
        <v>6000</v>
      </c>
      <c r="AK45" s="21"/>
    </row>
  </sheetData>
  <mergeCells count="17">
    <mergeCell ref="H2:X2"/>
    <mergeCell ref="Y2:AJ2"/>
    <mergeCell ref="C3:C4"/>
    <mergeCell ref="D3:D4"/>
    <mergeCell ref="E3:E4"/>
    <mergeCell ref="F3:F4"/>
    <mergeCell ref="G3:G4"/>
    <mergeCell ref="H3:L3"/>
    <mergeCell ref="M3:T3"/>
    <mergeCell ref="U3:X3"/>
    <mergeCell ref="D23:D32"/>
    <mergeCell ref="D33:D44"/>
    <mergeCell ref="AB3:AJ3"/>
    <mergeCell ref="B5:B8"/>
    <mergeCell ref="B9:B12"/>
    <mergeCell ref="B13:B16"/>
    <mergeCell ref="B17:B19"/>
  </mergeCells>
  <pageMargins left="0.7" right="0.7" top="0.75" bottom="0.75" header="0.3" footer="0.3"/>
  <drawing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35EFD-872A-49C0-BEFA-8FB7C8ECF2D6}">
  <sheetPr>
    <tabColor theme="7" tint="0.59999389629810485"/>
  </sheetPr>
  <dimension ref="A2:AK45"/>
  <sheetViews>
    <sheetView showGridLines="0" topLeftCell="A14" zoomScale="80" zoomScaleNormal="80" workbookViewId="0">
      <selection activeCell="AJ5" sqref="AJ5:AJ19"/>
    </sheetView>
  </sheetViews>
  <sheetFormatPr baseColWidth="10" defaultColWidth="13.83203125" defaultRowHeight="16" x14ac:dyDescent="0.2"/>
  <cols>
    <col min="1" max="1" width="3.6640625" style="21" customWidth="1"/>
    <col min="2" max="4" width="13.83203125" style="21"/>
    <col min="5" max="5" width="33.83203125" style="21" customWidth="1"/>
    <col min="6" max="6" width="13.83203125" style="21"/>
    <col min="7" max="7" width="17.6640625" style="7" bestFit="1" customWidth="1"/>
    <col min="8" max="8" width="14" style="7" customWidth="1"/>
    <col min="9" max="9" width="16.33203125" style="7" customWidth="1"/>
    <col min="10" max="11" width="14.33203125" style="7" customWidth="1"/>
    <col min="12" max="12" width="16" style="7" customWidth="1"/>
    <col min="13" max="13" width="12.6640625" style="7" customWidth="1"/>
    <col min="14" max="18" width="14.33203125" style="7" customWidth="1"/>
    <col min="19" max="19" width="15.6640625" style="7" customWidth="1"/>
    <col min="20" max="20" width="14.33203125" style="7" customWidth="1"/>
    <col min="21" max="23" width="11.5" style="7" customWidth="1"/>
    <col min="24" max="24" width="13.83203125" style="7" customWidth="1"/>
    <col min="25" max="25" width="17.1640625" style="7" customWidth="1"/>
    <col min="26" max="26" width="12.33203125" style="7" customWidth="1"/>
    <col min="27" max="27" width="14.5" style="7" bestFit="1" customWidth="1"/>
    <col min="28" max="36" width="14.5" style="7" customWidth="1"/>
    <col min="37" max="37" width="13.83203125" style="21"/>
    <col min="38" max="38" width="10.1640625" style="21" customWidth="1"/>
    <col min="39" max="16384" width="13.83203125" style="21"/>
  </cols>
  <sheetData>
    <row r="2" spans="2:37" ht="24" x14ac:dyDescent="0.3">
      <c r="C2" s="11"/>
      <c r="D2" s="11"/>
      <c r="E2" s="7"/>
      <c r="F2" s="7"/>
      <c r="H2" s="129" t="s">
        <v>50</v>
      </c>
      <c r="I2" s="129"/>
      <c r="J2" s="129"/>
      <c r="K2" s="129"/>
      <c r="L2" s="129"/>
      <c r="M2" s="129"/>
      <c r="N2" s="129"/>
      <c r="O2" s="129"/>
      <c r="P2" s="129"/>
      <c r="Q2" s="129"/>
      <c r="R2" s="129"/>
      <c r="S2" s="129"/>
      <c r="T2" s="129"/>
      <c r="U2" s="129"/>
      <c r="V2" s="129"/>
      <c r="W2" s="129"/>
      <c r="X2" s="129"/>
      <c r="Y2" s="130"/>
      <c r="Z2" s="130"/>
      <c r="AA2" s="130"/>
      <c r="AB2" s="130"/>
      <c r="AC2" s="130"/>
      <c r="AD2" s="130"/>
      <c r="AE2" s="130"/>
      <c r="AF2" s="130"/>
      <c r="AG2" s="130"/>
      <c r="AH2" s="130"/>
      <c r="AI2" s="130"/>
      <c r="AJ2" s="130"/>
    </row>
    <row r="3" spans="2:37" ht="21" x14ac:dyDescent="0.25">
      <c r="C3" s="131" t="s">
        <v>53</v>
      </c>
      <c r="D3" s="133" t="s">
        <v>48</v>
      </c>
      <c r="E3" s="135" t="s">
        <v>2</v>
      </c>
      <c r="F3" s="135" t="s">
        <v>3</v>
      </c>
      <c r="G3" s="137" t="s">
        <v>4</v>
      </c>
      <c r="H3" s="139" t="s">
        <v>60</v>
      </c>
      <c r="I3" s="140"/>
      <c r="J3" s="140"/>
      <c r="K3" s="140"/>
      <c r="L3" s="141"/>
      <c r="M3" s="139" t="s">
        <v>1</v>
      </c>
      <c r="N3" s="140"/>
      <c r="O3" s="140"/>
      <c r="P3" s="140"/>
      <c r="Q3" s="140"/>
      <c r="R3" s="140"/>
      <c r="S3" s="140"/>
      <c r="T3" s="141"/>
      <c r="U3" s="139" t="s">
        <v>85</v>
      </c>
      <c r="V3" s="140"/>
      <c r="W3" s="140"/>
      <c r="X3" s="141"/>
      <c r="Y3" s="44" t="s">
        <v>0</v>
      </c>
      <c r="Z3" s="44" t="s">
        <v>83</v>
      </c>
      <c r="AA3" s="44" t="s">
        <v>86</v>
      </c>
      <c r="AB3" s="127"/>
      <c r="AC3" s="127"/>
      <c r="AD3" s="127"/>
      <c r="AE3" s="127"/>
      <c r="AF3" s="127"/>
      <c r="AG3" s="127"/>
      <c r="AH3" s="127"/>
      <c r="AI3" s="127"/>
      <c r="AJ3" s="127"/>
    </row>
    <row r="4" spans="2:37" ht="64" x14ac:dyDescent="0.2">
      <c r="C4" s="132"/>
      <c r="D4" s="134"/>
      <c r="E4" s="136"/>
      <c r="F4" s="136"/>
      <c r="G4" s="138"/>
      <c r="H4" s="67" t="s">
        <v>99</v>
      </c>
      <c r="I4" s="43" t="s">
        <v>52</v>
      </c>
      <c r="J4" s="43" t="s">
        <v>61</v>
      </c>
      <c r="K4" s="43" t="s">
        <v>62</v>
      </c>
      <c r="L4" s="43" t="s">
        <v>63</v>
      </c>
      <c r="M4" s="67" t="s">
        <v>11</v>
      </c>
      <c r="N4" s="67" t="s">
        <v>12</v>
      </c>
      <c r="O4" s="67" t="s">
        <v>13</v>
      </c>
      <c r="P4" s="67" t="s">
        <v>14</v>
      </c>
      <c r="Q4" s="67" t="s">
        <v>15</v>
      </c>
      <c r="R4" s="67" t="s">
        <v>16</v>
      </c>
      <c r="S4" s="43" t="s">
        <v>17</v>
      </c>
      <c r="T4" s="43" t="s">
        <v>18</v>
      </c>
      <c r="U4" s="43" t="s">
        <v>19</v>
      </c>
      <c r="V4" s="43" t="s">
        <v>100</v>
      </c>
      <c r="W4" s="43" t="s">
        <v>20</v>
      </c>
      <c r="X4" s="43" t="s">
        <v>21</v>
      </c>
      <c r="Y4" s="43" t="s">
        <v>10</v>
      </c>
      <c r="Z4" s="43" t="s">
        <v>27</v>
      </c>
      <c r="AA4" s="43" t="s">
        <v>5</v>
      </c>
      <c r="AB4" s="43" t="s">
        <v>6</v>
      </c>
      <c r="AC4" s="43" t="s">
        <v>7</v>
      </c>
      <c r="AD4" s="43" t="s">
        <v>8</v>
      </c>
      <c r="AE4" s="43" t="s">
        <v>25</v>
      </c>
      <c r="AF4" s="43" t="s">
        <v>9</v>
      </c>
      <c r="AG4" s="43" t="s">
        <v>22</v>
      </c>
      <c r="AH4" s="43" t="s">
        <v>23</v>
      </c>
      <c r="AI4" s="43" t="s">
        <v>24</v>
      </c>
      <c r="AJ4" s="43" t="s">
        <v>26</v>
      </c>
      <c r="AK4" s="101" t="s">
        <v>96</v>
      </c>
    </row>
    <row r="5" spans="2:37" x14ac:dyDescent="0.2">
      <c r="B5" s="128" t="s">
        <v>64</v>
      </c>
      <c r="C5" s="51" t="s">
        <v>82</v>
      </c>
      <c r="D5" s="77">
        <v>1</v>
      </c>
      <c r="E5" s="78" t="s">
        <v>40</v>
      </c>
      <c r="F5" s="70" t="s">
        <v>30</v>
      </c>
      <c r="G5" s="55"/>
      <c r="H5" s="55"/>
      <c r="I5" s="55"/>
      <c r="J5" s="55"/>
      <c r="K5" s="86"/>
      <c r="L5" s="55"/>
      <c r="M5" s="55"/>
      <c r="N5" s="55"/>
      <c r="O5" s="55"/>
      <c r="P5" s="55"/>
      <c r="Q5" s="55"/>
      <c r="R5" s="55"/>
      <c r="S5" s="89"/>
      <c r="T5" s="55"/>
      <c r="U5" s="55"/>
      <c r="V5" s="55"/>
      <c r="W5" s="55"/>
      <c r="X5" s="55"/>
      <c r="Y5" s="86">
        <v>0</v>
      </c>
      <c r="Z5" s="55"/>
      <c r="AA5" s="86">
        <v>0</v>
      </c>
      <c r="AB5" s="55"/>
      <c r="AC5" s="55"/>
      <c r="AD5" s="55"/>
      <c r="AE5" s="86">
        <v>0</v>
      </c>
      <c r="AF5" s="55"/>
      <c r="AG5" s="55"/>
      <c r="AH5" s="55"/>
      <c r="AI5" s="86">
        <v>0</v>
      </c>
      <c r="AJ5" s="41">
        <v>0</v>
      </c>
      <c r="AK5" s="100">
        <f t="shared" ref="AK5:AK16" si="0">SUM(S5:AJ5)+SUM(I5:L5)</f>
        <v>0</v>
      </c>
    </row>
    <row r="6" spans="2:37" x14ac:dyDescent="0.2">
      <c r="B6" s="128"/>
      <c r="C6" s="34" t="s">
        <v>68</v>
      </c>
      <c r="D6" s="72">
        <v>2</v>
      </c>
      <c r="E6" s="73" t="s">
        <v>118</v>
      </c>
      <c r="F6" s="74" t="s">
        <v>29</v>
      </c>
      <c r="G6" s="33"/>
      <c r="H6" s="17"/>
      <c r="I6" s="17">
        <f>I5*G6</f>
        <v>0</v>
      </c>
      <c r="J6" s="17"/>
      <c r="K6" s="90">
        <v>0</v>
      </c>
      <c r="L6" s="17"/>
      <c r="M6" s="33"/>
      <c r="N6" s="33"/>
      <c r="O6" s="24"/>
      <c r="P6" s="24"/>
      <c r="Q6" s="24"/>
      <c r="R6" s="17">
        <f>O6*0.045</f>
        <v>0</v>
      </c>
      <c r="S6" s="20"/>
      <c r="T6" s="90">
        <f t="shared" ref="T6:T16" si="1">SUM(O6:R6)*M6*N6</f>
        <v>0</v>
      </c>
      <c r="U6" s="17"/>
      <c r="V6" s="24">
        <v>0</v>
      </c>
      <c r="W6" s="17"/>
      <c r="X6" s="17"/>
      <c r="Y6" s="90"/>
      <c r="Z6" s="17"/>
      <c r="AA6" s="90">
        <v>0</v>
      </c>
      <c r="AB6" s="10"/>
      <c r="AC6" s="10"/>
      <c r="AD6" s="10"/>
      <c r="AE6" s="10"/>
      <c r="AF6" s="10"/>
      <c r="AG6" s="17"/>
      <c r="AH6" s="17"/>
      <c r="AI6" s="17"/>
      <c r="AJ6" s="17"/>
      <c r="AK6" s="100">
        <f t="shared" si="0"/>
        <v>0</v>
      </c>
    </row>
    <row r="7" spans="2:37" x14ac:dyDescent="0.2">
      <c r="B7" s="128"/>
      <c r="C7" s="15" t="s">
        <v>69</v>
      </c>
      <c r="D7" s="75">
        <v>3</v>
      </c>
      <c r="E7" s="73" t="s">
        <v>117</v>
      </c>
      <c r="F7" s="74" t="s">
        <v>29</v>
      </c>
      <c r="G7" s="33"/>
      <c r="H7" s="17"/>
      <c r="I7" s="17">
        <f>I6*G7</f>
        <v>0</v>
      </c>
      <c r="J7" s="17"/>
      <c r="K7" s="90">
        <v>0</v>
      </c>
      <c r="L7" s="17"/>
      <c r="M7" s="33"/>
      <c r="N7" s="33"/>
      <c r="O7" s="24"/>
      <c r="P7" s="24"/>
      <c r="Q7" s="24"/>
      <c r="R7" s="17">
        <f>O7*0.045</f>
        <v>0</v>
      </c>
      <c r="S7" s="20"/>
      <c r="T7" s="90">
        <f t="shared" si="1"/>
        <v>0</v>
      </c>
      <c r="U7" s="17"/>
      <c r="V7" s="24">
        <v>0</v>
      </c>
      <c r="W7" s="17"/>
      <c r="X7" s="17"/>
      <c r="Y7" s="90"/>
      <c r="Z7" s="17"/>
      <c r="AA7" s="90">
        <v>0</v>
      </c>
      <c r="AB7" s="10"/>
      <c r="AC7" s="10"/>
      <c r="AD7" s="10"/>
      <c r="AE7" s="10"/>
      <c r="AF7" s="10"/>
      <c r="AG7" s="17"/>
      <c r="AH7" s="17"/>
      <c r="AI7" s="17"/>
      <c r="AJ7" s="17"/>
      <c r="AK7" s="100">
        <f t="shared" si="0"/>
        <v>0</v>
      </c>
    </row>
    <row r="8" spans="2:37" x14ac:dyDescent="0.2">
      <c r="B8" s="128"/>
      <c r="C8" s="55" t="s">
        <v>94</v>
      </c>
      <c r="D8" s="77">
        <v>4</v>
      </c>
      <c r="E8" s="79" t="s">
        <v>116</v>
      </c>
      <c r="F8" s="80" t="s">
        <v>30</v>
      </c>
      <c r="G8" s="55"/>
      <c r="H8" s="57"/>
      <c r="I8" s="57"/>
      <c r="J8" s="57"/>
      <c r="K8" s="86"/>
      <c r="L8" s="57"/>
      <c r="M8" s="55"/>
      <c r="N8" s="55"/>
      <c r="O8" s="57"/>
      <c r="P8" s="57"/>
      <c r="Q8" s="57"/>
      <c r="R8" s="57"/>
      <c r="S8" s="82"/>
      <c r="T8" s="57">
        <f t="shared" si="1"/>
        <v>0</v>
      </c>
      <c r="U8" s="57"/>
      <c r="V8" s="57"/>
      <c r="W8" s="57"/>
      <c r="X8" s="57"/>
      <c r="Y8" s="86"/>
      <c r="Z8" s="57"/>
      <c r="AA8" s="86">
        <v>3000</v>
      </c>
      <c r="AB8" s="58"/>
      <c r="AC8" s="58"/>
      <c r="AD8" s="58"/>
      <c r="AE8" s="86">
        <v>0</v>
      </c>
      <c r="AF8" s="58"/>
      <c r="AG8" s="57"/>
      <c r="AH8" s="57"/>
      <c r="AI8" s="86">
        <v>0</v>
      </c>
      <c r="AJ8" s="41">
        <v>0</v>
      </c>
      <c r="AK8" s="100">
        <f t="shared" si="0"/>
        <v>3000</v>
      </c>
    </row>
    <row r="9" spans="2:37" x14ac:dyDescent="0.2">
      <c r="B9" s="128" t="s">
        <v>65</v>
      </c>
      <c r="C9" s="51" t="s">
        <v>81</v>
      </c>
      <c r="D9" s="77">
        <v>5</v>
      </c>
      <c r="E9" s="79" t="s">
        <v>115</v>
      </c>
      <c r="F9" s="80" t="s">
        <v>30</v>
      </c>
      <c r="G9" s="55"/>
      <c r="H9" s="57"/>
      <c r="I9" s="57"/>
      <c r="J9" s="57"/>
      <c r="K9" s="86"/>
      <c r="L9" s="57"/>
      <c r="M9" s="55"/>
      <c r="N9" s="55"/>
      <c r="O9" s="57"/>
      <c r="P9" s="57"/>
      <c r="Q9" s="57"/>
      <c r="R9" s="57"/>
      <c r="S9" s="82"/>
      <c r="T9" s="57">
        <f t="shared" si="1"/>
        <v>0</v>
      </c>
      <c r="U9" s="57"/>
      <c r="V9" s="57"/>
      <c r="W9" s="57"/>
      <c r="X9" s="57"/>
      <c r="Y9" s="86"/>
      <c r="Z9" s="57"/>
      <c r="AA9" s="86">
        <v>0</v>
      </c>
      <c r="AB9" s="58"/>
      <c r="AC9" s="58"/>
      <c r="AD9" s="58"/>
      <c r="AE9" s="86">
        <v>0</v>
      </c>
      <c r="AF9" s="58"/>
      <c r="AG9" s="57"/>
      <c r="AH9" s="57"/>
      <c r="AI9" s="86">
        <v>0</v>
      </c>
      <c r="AJ9" s="41">
        <v>0</v>
      </c>
      <c r="AK9" s="100">
        <f t="shared" si="0"/>
        <v>0</v>
      </c>
    </row>
    <row r="10" spans="2:37" x14ac:dyDescent="0.2">
      <c r="B10" s="128"/>
      <c r="C10" s="15" t="s">
        <v>70</v>
      </c>
      <c r="D10" s="75">
        <v>6</v>
      </c>
      <c r="E10" s="73" t="s">
        <v>105</v>
      </c>
      <c r="F10" s="74" t="s">
        <v>29</v>
      </c>
      <c r="G10" s="33"/>
      <c r="H10" s="17"/>
      <c r="I10" s="17">
        <f>I9*G10</f>
        <v>0</v>
      </c>
      <c r="J10" s="17"/>
      <c r="K10" s="90">
        <v>0</v>
      </c>
      <c r="L10" s="17"/>
      <c r="M10" s="33"/>
      <c r="N10" s="33"/>
      <c r="O10" s="24"/>
      <c r="P10" s="24"/>
      <c r="Q10" s="24"/>
      <c r="R10" s="17">
        <f>O10*0.045</f>
        <v>0</v>
      </c>
      <c r="S10" s="20"/>
      <c r="T10" s="90">
        <f t="shared" si="1"/>
        <v>0</v>
      </c>
      <c r="U10" s="17"/>
      <c r="V10" s="24">
        <v>0</v>
      </c>
      <c r="W10" s="17"/>
      <c r="X10" s="17"/>
      <c r="Y10" s="90"/>
      <c r="Z10" s="17"/>
      <c r="AA10" s="90">
        <v>0</v>
      </c>
      <c r="AB10" s="10"/>
      <c r="AC10" s="10"/>
      <c r="AD10" s="10"/>
      <c r="AE10" s="10"/>
      <c r="AF10" s="10"/>
      <c r="AG10" s="17"/>
      <c r="AH10" s="17"/>
      <c r="AI10" s="17"/>
      <c r="AJ10" s="17"/>
      <c r="AK10" s="100">
        <f t="shared" si="0"/>
        <v>0</v>
      </c>
    </row>
    <row r="11" spans="2:37" x14ac:dyDescent="0.2">
      <c r="B11" s="128"/>
      <c r="C11" s="15" t="s">
        <v>71</v>
      </c>
      <c r="D11" s="75">
        <v>7</v>
      </c>
      <c r="E11" s="73" t="s">
        <v>114</v>
      </c>
      <c r="F11" s="74" t="s">
        <v>29</v>
      </c>
      <c r="G11" s="33"/>
      <c r="H11" s="17"/>
      <c r="I11" s="17">
        <f>I10*G11</f>
        <v>0</v>
      </c>
      <c r="J11" s="17"/>
      <c r="K11" s="90">
        <v>0</v>
      </c>
      <c r="L11" s="17"/>
      <c r="M11" s="33"/>
      <c r="N11" s="33"/>
      <c r="O11" s="24"/>
      <c r="P11" s="24"/>
      <c r="Q11" s="24"/>
      <c r="R11" s="17">
        <f>O11*0.045</f>
        <v>0</v>
      </c>
      <c r="S11" s="20"/>
      <c r="T11" s="90">
        <f t="shared" si="1"/>
        <v>0</v>
      </c>
      <c r="U11" s="17"/>
      <c r="V11" s="24">
        <v>0</v>
      </c>
      <c r="W11" s="17"/>
      <c r="X11" s="17"/>
      <c r="Y11" s="90"/>
      <c r="Z11" s="17"/>
      <c r="AA11" s="90">
        <v>0</v>
      </c>
      <c r="AB11" s="10"/>
      <c r="AC11" s="10"/>
      <c r="AD11" s="10"/>
      <c r="AE11" s="10"/>
      <c r="AF11" s="10"/>
      <c r="AG11" s="17"/>
      <c r="AH11" s="17"/>
      <c r="AI11" s="17"/>
      <c r="AJ11" s="17"/>
      <c r="AK11" s="100">
        <f t="shared" si="0"/>
        <v>0</v>
      </c>
    </row>
    <row r="12" spans="2:37" x14ac:dyDescent="0.2">
      <c r="B12" s="128"/>
      <c r="C12" s="51" t="s">
        <v>72</v>
      </c>
      <c r="D12" s="77">
        <v>8</v>
      </c>
      <c r="E12" s="79" t="s">
        <v>104</v>
      </c>
      <c r="F12" s="80" t="s">
        <v>30</v>
      </c>
      <c r="G12" s="55"/>
      <c r="H12" s="57"/>
      <c r="I12" s="57"/>
      <c r="J12" s="57"/>
      <c r="K12" s="86"/>
      <c r="L12" s="57"/>
      <c r="M12" s="55"/>
      <c r="N12" s="55"/>
      <c r="O12" s="57"/>
      <c r="P12" s="57"/>
      <c r="Q12" s="57"/>
      <c r="R12" s="57"/>
      <c r="S12" s="82"/>
      <c r="T12" s="57">
        <f t="shared" si="1"/>
        <v>0</v>
      </c>
      <c r="U12" s="57"/>
      <c r="V12" s="57"/>
      <c r="W12" s="57"/>
      <c r="X12" s="57"/>
      <c r="Y12" s="86"/>
      <c r="Z12" s="57"/>
      <c r="AA12" s="86">
        <v>0</v>
      </c>
      <c r="AB12" s="58"/>
      <c r="AC12" s="58"/>
      <c r="AD12" s="58"/>
      <c r="AE12" s="86">
        <v>0</v>
      </c>
      <c r="AF12" s="58"/>
      <c r="AG12" s="57"/>
      <c r="AH12" s="57"/>
      <c r="AI12" s="86">
        <v>0</v>
      </c>
      <c r="AJ12" s="41">
        <v>0</v>
      </c>
      <c r="AK12" s="100">
        <f t="shared" si="0"/>
        <v>0</v>
      </c>
    </row>
    <row r="13" spans="2:37" x14ac:dyDescent="0.2">
      <c r="B13" s="128" t="s">
        <v>66</v>
      </c>
      <c r="C13" s="15" t="s">
        <v>73</v>
      </c>
      <c r="D13" s="75">
        <v>9</v>
      </c>
      <c r="E13" s="73" t="s">
        <v>103</v>
      </c>
      <c r="F13" s="74" t="s">
        <v>29</v>
      </c>
      <c r="G13" s="33"/>
      <c r="H13" s="21"/>
      <c r="I13" s="17"/>
      <c r="J13" s="17"/>
      <c r="K13" s="90">
        <v>0</v>
      </c>
      <c r="L13" s="17"/>
      <c r="M13" s="33"/>
      <c r="N13" s="33"/>
      <c r="O13" s="24"/>
      <c r="P13" s="24"/>
      <c r="Q13" s="24"/>
      <c r="R13" s="17">
        <f>O13*0.045</f>
        <v>0</v>
      </c>
      <c r="S13" s="20"/>
      <c r="T13" s="90">
        <f t="shared" si="1"/>
        <v>0</v>
      </c>
      <c r="U13" s="17"/>
      <c r="V13" s="24"/>
      <c r="W13" s="17"/>
      <c r="X13" s="17"/>
      <c r="Y13" s="90"/>
      <c r="Z13" s="17"/>
      <c r="AA13" s="90">
        <v>0</v>
      </c>
      <c r="AB13" s="10"/>
      <c r="AC13" s="10"/>
      <c r="AD13" s="10"/>
      <c r="AE13" s="10"/>
      <c r="AF13" s="10"/>
      <c r="AG13" s="17"/>
      <c r="AH13" s="17"/>
      <c r="AI13" s="17"/>
      <c r="AJ13" s="17"/>
      <c r="AK13" s="100">
        <f t="shared" si="0"/>
        <v>0</v>
      </c>
    </row>
    <row r="14" spans="2:37" x14ac:dyDescent="0.2">
      <c r="B14" s="128"/>
      <c r="C14" s="51" t="s">
        <v>74</v>
      </c>
      <c r="D14" s="77">
        <v>10</v>
      </c>
      <c r="E14" s="79" t="s">
        <v>113</v>
      </c>
      <c r="F14" s="81" t="s">
        <v>30</v>
      </c>
      <c r="G14" s="55"/>
      <c r="H14" s="57"/>
      <c r="I14" s="57"/>
      <c r="J14" s="57"/>
      <c r="K14" s="86"/>
      <c r="L14" s="57"/>
      <c r="M14" s="55"/>
      <c r="N14" s="55"/>
      <c r="O14" s="57"/>
      <c r="P14" s="57"/>
      <c r="Q14" s="57"/>
      <c r="R14" s="57"/>
      <c r="S14" s="82"/>
      <c r="T14" s="57">
        <f t="shared" si="1"/>
        <v>0</v>
      </c>
      <c r="U14" s="57"/>
      <c r="V14" s="57"/>
      <c r="W14" s="57"/>
      <c r="X14" s="57"/>
      <c r="Y14" s="86"/>
      <c r="Z14" s="57"/>
      <c r="AA14" s="86">
        <v>0</v>
      </c>
      <c r="AB14" s="58"/>
      <c r="AC14" s="58"/>
      <c r="AD14" s="58"/>
      <c r="AE14" s="86">
        <v>0</v>
      </c>
      <c r="AF14" s="58"/>
      <c r="AG14" s="57"/>
      <c r="AH14" s="57"/>
      <c r="AI14" s="86">
        <v>0</v>
      </c>
      <c r="AJ14" s="41">
        <v>0</v>
      </c>
      <c r="AK14" s="100">
        <f t="shared" si="0"/>
        <v>0</v>
      </c>
    </row>
    <row r="15" spans="2:37" x14ac:dyDescent="0.2">
      <c r="B15" s="128"/>
      <c r="C15" s="51" t="s">
        <v>75</v>
      </c>
      <c r="D15" s="77">
        <v>11</v>
      </c>
      <c r="E15" s="79" t="s">
        <v>112</v>
      </c>
      <c r="F15" s="81" t="s">
        <v>30</v>
      </c>
      <c r="G15" s="55"/>
      <c r="H15" s="57"/>
      <c r="I15" s="57"/>
      <c r="J15" s="57"/>
      <c r="K15" s="86"/>
      <c r="L15" s="57"/>
      <c r="M15" s="55"/>
      <c r="N15" s="55"/>
      <c r="O15" s="57"/>
      <c r="P15" s="57"/>
      <c r="Q15" s="57"/>
      <c r="R15" s="57"/>
      <c r="S15" s="82"/>
      <c r="T15" s="57">
        <f t="shared" si="1"/>
        <v>0</v>
      </c>
      <c r="U15" s="57"/>
      <c r="V15" s="57"/>
      <c r="W15" s="57"/>
      <c r="X15" s="57"/>
      <c r="Y15" s="86"/>
      <c r="Z15" s="57"/>
      <c r="AA15" s="86">
        <v>3000</v>
      </c>
      <c r="AB15" s="58"/>
      <c r="AC15" s="58"/>
      <c r="AD15" s="58"/>
      <c r="AE15" s="86">
        <v>0</v>
      </c>
      <c r="AF15" s="58"/>
      <c r="AG15" s="57"/>
      <c r="AH15" s="57"/>
      <c r="AI15" s="86">
        <v>0</v>
      </c>
      <c r="AJ15" s="41">
        <v>0</v>
      </c>
      <c r="AK15" s="100">
        <f t="shared" si="0"/>
        <v>3000</v>
      </c>
    </row>
    <row r="16" spans="2:37" x14ac:dyDescent="0.2">
      <c r="B16" s="128"/>
      <c r="C16" s="15" t="s">
        <v>80</v>
      </c>
      <c r="D16" s="75">
        <v>12</v>
      </c>
      <c r="E16" s="73" t="s">
        <v>111</v>
      </c>
      <c r="F16" s="74" t="s">
        <v>29</v>
      </c>
      <c r="G16" s="33"/>
      <c r="H16" s="17"/>
      <c r="I16" s="17">
        <f>I15*G16</f>
        <v>0</v>
      </c>
      <c r="J16" s="17"/>
      <c r="K16" s="90">
        <v>0</v>
      </c>
      <c r="L16" s="17"/>
      <c r="M16" s="33"/>
      <c r="N16" s="33"/>
      <c r="O16" s="24"/>
      <c r="P16" s="24"/>
      <c r="Q16" s="24"/>
      <c r="R16" s="17">
        <f>O16*0.045</f>
        <v>0</v>
      </c>
      <c r="S16" s="20"/>
      <c r="T16" s="90">
        <f t="shared" si="1"/>
        <v>0</v>
      </c>
      <c r="U16" s="17"/>
      <c r="V16" s="24"/>
      <c r="W16" s="17"/>
      <c r="X16" s="17"/>
      <c r="Y16" s="90"/>
      <c r="Z16" s="17"/>
      <c r="AA16" s="90">
        <v>0</v>
      </c>
      <c r="AB16" s="10"/>
      <c r="AC16" s="10"/>
      <c r="AD16" s="10"/>
      <c r="AE16" s="10"/>
      <c r="AF16" s="10"/>
      <c r="AG16" s="17"/>
      <c r="AH16" s="17"/>
      <c r="AI16" s="17"/>
      <c r="AJ16" s="17"/>
      <c r="AK16" s="100">
        <f t="shared" si="0"/>
        <v>0</v>
      </c>
    </row>
    <row r="17" spans="1:37" x14ac:dyDescent="0.2">
      <c r="B17" s="142" t="s">
        <v>67</v>
      </c>
      <c r="C17" s="15" t="s">
        <v>76</v>
      </c>
      <c r="D17" s="75">
        <v>13</v>
      </c>
      <c r="E17" s="73" t="s">
        <v>110</v>
      </c>
      <c r="F17" s="74" t="s">
        <v>29</v>
      </c>
      <c r="G17" s="33"/>
      <c r="H17" s="17"/>
      <c r="I17" s="17"/>
      <c r="J17" s="17"/>
      <c r="K17" s="90"/>
      <c r="L17" s="17"/>
      <c r="M17" s="33"/>
      <c r="N17" s="33"/>
      <c r="O17" s="24"/>
      <c r="P17" s="24"/>
      <c r="Q17" s="24"/>
      <c r="R17" s="17"/>
      <c r="S17" s="20"/>
      <c r="T17" s="90"/>
      <c r="U17" s="17"/>
      <c r="V17" s="24"/>
      <c r="W17" s="17"/>
      <c r="X17" s="17"/>
      <c r="Y17" s="90"/>
      <c r="Z17" s="17"/>
      <c r="AA17" s="90"/>
      <c r="AB17" s="10"/>
      <c r="AC17" s="10"/>
      <c r="AD17" s="10"/>
      <c r="AE17" s="10"/>
      <c r="AF17" s="10"/>
      <c r="AG17" s="17"/>
      <c r="AH17" s="17"/>
      <c r="AI17" s="17"/>
      <c r="AJ17" s="17"/>
      <c r="AK17" s="100"/>
    </row>
    <row r="18" spans="1:37" x14ac:dyDescent="0.2">
      <c r="B18" s="143"/>
      <c r="C18" s="51" t="s">
        <v>77</v>
      </c>
      <c r="D18" s="77">
        <v>14</v>
      </c>
      <c r="E18" s="79" t="s">
        <v>109</v>
      </c>
      <c r="F18" s="81" t="s">
        <v>30</v>
      </c>
      <c r="G18" s="82"/>
      <c r="H18" s="82"/>
      <c r="I18" s="82"/>
      <c r="J18" s="57"/>
      <c r="K18" s="93"/>
      <c r="L18" s="57"/>
      <c r="M18" s="54"/>
      <c r="N18" s="54"/>
      <c r="O18" s="54"/>
      <c r="P18" s="83"/>
      <c r="Q18" s="83"/>
      <c r="R18" s="83"/>
      <c r="S18" s="82"/>
      <c r="T18" s="83"/>
      <c r="U18" s="57"/>
      <c r="V18" s="54"/>
      <c r="W18" s="57"/>
      <c r="X18" s="57"/>
      <c r="Y18" s="94"/>
      <c r="Z18" s="57"/>
      <c r="AA18" s="86"/>
      <c r="AB18" s="58"/>
      <c r="AC18" s="58"/>
      <c r="AD18" s="58"/>
      <c r="AE18" s="86"/>
      <c r="AF18" s="58"/>
      <c r="AG18" s="57"/>
      <c r="AH18" s="57"/>
      <c r="AI18" s="86"/>
      <c r="AJ18" s="41"/>
      <c r="AK18" s="100"/>
    </row>
    <row r="19" spans="1:37" x14ac:dyDescent="0.2">
      <c r="B19" s="144"/>
      <c r="C19" s="15" t="s">
        <v>78</v>
      </c>
      <c r="D19" s="75">
        <v>15</v>
      </c>
      <c r="E19" s="73" t="s">
        <v>108</v>
      </c>
      <c r="F19" s="76" t="s">
        <v>29</v>
      </c>
      <c r="G19" s="33"/>
      <c r="H19" s="17"/>
      <c r="I19" s="17">
        <f>I16*G19</f>
        <v>0</v>
      </c>
      <c r="J19" s="17"/>
      <c r="K19" s="90">
        <v>0</v>
      </c>
      <c r="L19" s="17"/>
      <c r="M19" s="33"/>
      <c r="N19" s="33"/>
      <c r="O19" s="24"/>
      <c r="P19" s="24"/>
      <c r="Q19" s="24"/>
      <c r="R19" s="17">
        <f>O19*0.045</f>
        <v>0</v>
      </c>
      <c r="S19" s="20"/>
      <c r="T19" s="90">
        <f>SUM(O19:R19)*M19*N19</f>
        <v>0</v>
      </c>
      <c r="U19" s="17"/>
      <c r="V19" s="24"/>
      <c r="W19" s="17"/>
      <c r="X19" s="17"/>
      <c r="Y19" s="90"/>
      <c r="Z19" s="17"/>
      <c r="AA19" s="90">
        <v>0</v>
      </c>
      <c r="AB19" s="10"/>
      <c r="AC19" s="10"/>
      <c r="AD19" s="10"/>
      <c r="AE19" s="10"/>
      <c r="AF19" s="10"/>
      <c r="AG19" s="17"/>
      <c r="AH19" s="17"/>
      <c r="AI19" s="17"/>
      <c r="AJ19" s="17"/>
      <c r="AK19" s="100">
        <f>SUM(S19:AJ19)+SUM(I19:L19)</f>
        <v>0</v>
      </c>
    </row>
    <row r="20" spans="1:37" x14ac:dyDescent="0.2">
      <c r="B20" s="35"/>
      <c r="C20" s="12"/>
      <c r="D20" s="37"/>
      <c r="E20" s="38"/>
      <c r="F20" s="39"/>
      <c r="G20" s="59" t="s">
        <v>95</v>
      </c>
      <c r="H20" s="60"/>
      <c r="I20" s="60">
        <f>SUM(I4:I19)</f>
        <v>0</v>
      </c>
      <c r="J20" s="60">
        <f>SUM(J4:J19)</f>
        <v>0</v>
      </c>
      <c r="K20" s="60">
        <f>SUM(K4:K19)</f>
        <v>0</v>
      </c>
      <c r="L20" s="60">
        <f>SUM(L4:L19)</f>
        <v>0</v>
      </c>
      <c r="M20" s="60"/>
      <c r="N20" s="60"/>
      <c r="O20" s="60"/>
      <c r="P20" s="60"/>
      <c r="Q20" s="60"/>
      <c r="R20" s="60"/>
      <c r="S20" s="60">
        <f t="shared" ref="S20:AJ20" si="2">SUM(S4:S19)</f>
        <v>0</v>
      </c>
      <c r="T20" s="60">
        <f t="shared" si="2"/>
        <v>0</v>
      </c>
      <c r="U20" s="60">
        <f t="shared" si="2"/>
        <v>0</v>
      </c>
      <c r="V20" s="60">
        <f t="shared" si="2"/>
        <v>0</v>
      </c>
      <c r="W20" s="60">
        <f t="shared" si="2"/>
        <v>0</v>
      </c>
      <c r="X20" s="60">
        <f t="shared" si="2"/>
        <v>0</v>
      </c>
      <c r="Y20" s="60">
        <f t="shared" si="2"/>
        <v>0</v>
      </c>
      <c r="Z20" s="60">
        <f t="shared" si="2"/>
        <v>0</v>
      </c>
      <c r="AA20" s="60">
        <f t="shared" si="2"/>
        <v>6000</v>
      </c>
      <c r="AB20" s="60">
        <f t="shared" si="2"/>
        <v>0</v>
      </c>
      <c r="AC20" s="60">
        <f t="shared" si="2"/>
        <v>0</v>
      </c>
      <c r="AD20" s="60">
        <f t="shared" si="2"/>
        <v>0</v>
      </c>
      <c r="AE20" s="60">
        <f t="shared" si="2"/>
        <v>0</v>
      </c>
      <c r="AF20" s="60">
        <f t="shared" si="2"/>
        <v>0</v>
      </c>
      <c r="AG20" s="60">
        <f t="shared" si="2"/>
        <v>0</v>
      </c>
      <c r="AH20" s="60">
        <f t="shared" si="2"/>
        <v>0</v>
      </c>
      <c r="AI20" s="60">
        <f t="shared" si="2"/>
        <v>0</v>
      </c>
      <c r="AJ20" s="60">
        <f t="shared" si="2"/>
        <v>0</v>
      </c>
      <c r="AK20" s="99">
        <f>SUM(AK5:AK19)</f>
        <v>6000</v>
      </c>
    </row>
    <row r="21" spans="1:37" x14ac:dyDescent="0.2">
      <c r="E21" s="22"/>
      <c r="L21" s="18"/>
      <c r="N21" s="19"/>
      <c r="P21" s="19"/>
      <c r="Q21" s="19"/>
      <c r="R21" s="19"/>
      <c r="S21" s="19"/>
      <c r="T21" s="19"/>
      <c r="Y21" s="18"/>
    </row>
    <row r="22" spans="1:37" ht="17" thickBot="1" x14ac:dyDescent="0.25">
      <c r="E22" s="13"/>
      <c r="F22" s="45" t="s">
        <v>54</v>
      </c>
      <c r="G22" s="45" t="s">
        <v>55</v>
      </c>
      <c r="H22" s="45" t="s">
        <v>56</v>
      </c>
      <c r="I22" s="45" t="s">
        <v>57</v>
      </c>
      <c r="J22" s="45" t="s">
        <v>58</v>
      </c>
      <c r="K22" s="45" t="s">
        <v>59</v>
      </c>
      <c r="L22" s="18"/>
      <c r="N22" s="19"/>
      <c r="P22" s="19"/>
      <c r="Q22" s="19"/>
      <c r="R22" s="19"/>
      <c r="S22" s="19"/>
      <c r="T22" s="19"/>
      <c r="Y22" s="18"/>
    </row>
    <row r="23" spans="1:37" ht="15.5" customHeight="1" x14ac:dyDescent="0.2">
      <c r="D23" s="124" t="s">
        <v>44</v>
      </c>
      <c r="E23" s="25" t="s">
        <v>45</v>
      </c>
      <c r="F23" s="26"/>
      <c r="G23" s="26"/>
      <c r="H23" s="26"/>
      <c r="I23" s="26"/>
      <c r="J23" s="26"/>
      <c r="K23" s="27"/>
      <c r="L23" s="18"/>
      <c r="N23" s="19"/>
      <c r="P23" s="19"/>
      <c r="Q23" s="19"/>
      <c r="R23" s="19"/>
      <c r="S23" s="19"/>
      <c r="T23" s="19"/>
      <c r="Y23" s="18"/>
    </row>
    <row r="24" spans="1:37" x14ac:dyDescent="0.2">
      <c r="D24" s="124"/>
      <c r="E24" s="6" t="s">
        <v>46</v>
      </c>
      <c r="F24" s="17">
        <f>SUM(I5:I8)</f>
        <v>0</v>
      </c>
      <c r="G24" s="17">
        <f>SUM(I9:I12)</f>
        <v>0</v>
      </c>
      <c r="H24" s="17">
        <f>SUM(I13:I16)</f>
        <v>0</v>
      </c>
      <c r="I24" s="17">
        <f>SUM(I19:I19)</f>
        <v>0</v>
      </c>
      <c r="J24" s="17"/>
      <c r="K24" s="28"/>
      <c r="L24" s="18">
        <f>SUM(F24:K24)</f>
        <v>0</v>
      </c>
      <c r="N24" s="19"/>
      <c r="P24" s="19"/>
      <c r="Q24" s="19"/>
      <c r="R24" s="19"/>
      <c r="S24" s="19"/>
      <c r="T24" s="19"/>
      <c r="Y24" s="18"/>
    </row>
    <row r="25" spans="1:37" x14ac:dyDescent="0.2">
      <c r="D25" s="124"/>
      <c r="E25" s="6" t="s">
        <v>47</v>
      </c>
      <c r="F25" s="17">
        <f>SUM(J5:L8)</f>
        <v>0</v>
      </c>
      <c r="G25" s="17">
        <f>SUM(J9:L12)</f>
        <v>0</v>
      </c>
      <c r="H25" s="17">
        <f>SUM(J13:L16)</f>
        <v>0</v>
      </c>
      <c r="I25" s="17">
        <f>SUM(J19:L19)</f>
        <v>0</v>
      </c>
      <c r="J25" s="17"/>
      <c r="K25" s="28"/>
      <c r="L25" s="18">
        <f>SUM(F25:K25)</f>
        <v>0</v>
      </c>
      <c r="N25" s="19"/>
      <c r="P25" s="19"/>
      <c r="Q25" s="19"/>
      <c r="R25" s="19"/>
      <c r="S25" s="19"/>
      <c r="T25" s="19"/>
      <c r="Y25" s="18"/>
    </row>
    <row r="26" spans="1:37" x14ac:dyDescent="0.2">
      <c r="D26" s="124"/>
      <c r="E26" s="4" t="s">
        <v>18</v>
      </c>
      <c r="F26" s="17"/>
      <c r="G26" s="17"/>
      <c r="H26" s="17"/>
      <c r="I26" s="17"/>
      <c r="J26" s="17"/>
      <c r="K26" s="28"/>
      <c r="L26" s="18"/>
      <c r="N26" s="19"/>
      <c r="P26" s="19"/>
      <c r="Q26" s="19"/>
      <c r="R26" s="19"/>
      <c r="S26" s="19"/>
      <c r="T26" s="19"/>
      <c r="Y26" s="18"/>
    </row>
    <row r="27" spans="1:37" x14ac:dyDescent="0.2">
      <c r="D27" s="124"/>
      <c r="E27" s="6" t="s">
        <v>52</v>
      </c>
      <c r="F27" s="17">
        <f>SUM(T5:T8)</f>
        <v>0</v>
      </c>
      <c r="G27" s="17">
        <f>SUM(T9:T12)</f>
        <v>0</v>
      </c>
      <c r="H27" s="17">
        <f>SUM(T13:T16)</f>
        <v>0</v>
      </c>
      <c r="I27" s="17">
        <f>SUM(T19:T19)</f>
        <v>0</v>
      </c>
      <c r="J27" s="17"/>
      <c r="K27" s="28"/>
      <c r="L27" s="18">
        <f t="shared" ref="L27:L45" si="3">SUM(F27:K27)</f>
        <v>0</v>
      </c>
      <c r="Y27" s="18"/>
      <c r="AA27" s="18"/>
      <c r="AB27" s="18"/>
      <c r="AC27" s="18"/>
      <c r="AD27" s="18"/>
      <c r="AE27" s="18"/>
      <c r="AF27" s="18"/>
    </row>
    <row r="28" spans="1:37" x14ac:dyDescent="0.2">
      <c r="D28" s="124"/>
      <c r="E28" s="6" t="s">
        <v>17</v>
      </c>
      <c r="F28" s="17"/>
      <c r="G28" s="17"/>
      <c r="H28" s="17"/>
      <c r="I28" s="17"/>
      <c r="J28" s="17"/>
      <c r="K28" s="28"/>
      <c r="L28" s="18">
        <f t="shared" si="3"/>
        <v>0</v>
      </c>
      <c r="Y28" s="18"/>
      <c r="AA28" s="18"/>
      <c r="AB28" s="18"/>
      <c r="AC28" s="18"/>
      <c r="AD28" s="18"/>
      <c r="AE28" s="18"/>
      <c r="AF28" s="18"/>
    </row>
    <row r="29" spans="1:37" x14ac:dyDescent="0.2">
      <c r="D29" s="124"/>
      <c r="E29" s="4" t="s">
        <v>97</v>
      </c>
      <c r="F29" s="17"/>
      <c r="G29" s="17"/>
      <c r="H29" s="17"/>
      <c r="I29" s="17"/>
      <c r="J29" s="17"/>
      <c r="K29" s="28"/>
      <c r="L29" s="18">
        <f t="shared" si="3"/>
        <v>0</v>
      </c>
      <c r="N29" s="19"/>
      <c r="Y29" s="18"/>
      <c r="AA29" s="18"/>
      <c r="AB29" s="18"/>
      <c r="AC29" s="18"/>
      <c r="AD29" s="18"/>
      <c r="AE29" s="18"/>
      <c r="AF29" s="18"/>
    </row>
    <row r="30" spans="1:37" x14ac:dyDescent="0.2">
      <c r="D30" s="124"/>
      <c r="E30" s="47" t="s">
        <v>101</v>
      </c>
      <c r="F30" s="17">
        <f>SUM(V5:V8)</f>
        <v>0</v>
      </c>
      <c r="G30" s="17">
        <f>SUM(V9:V12)</f>
        <v>0</v>
      </c>
      <c r="H30" s="17">
        <f>SUM(V13:V16)</f>
        <v>0</v>
      </c>
      <c r="I30" s="17">
        <f>SUM(V19:V19)</f>
        <v>0</v>
      </c>
      <c r="J30" s="17"/>
      <c r="K30" s="28"/>
      <c r="L30" s="18">
        <f t="shared" si="3"/>
        <v>0</v>
      </c>
      <c r="N30" s="19"/>
      <c r="Y30" s="18"/>
      <c r="AA30" s="18"/>
      <c r="AB30" s="18"/>
      <c r="AC30" s="18"/>
      <c r="AD30" s="18"/>
      <c r="AE30" s="18"/>
      <c r="AF30" s="18"/>
    </row>
    <row r="31" spans="1:37" x14ac:dyDescent="0.2">
      <c r="D31" s="124"/>
      <c r="E31" s="4" t="s">
        <v>20</v>
      </c>
      <c r="F31" s="17"/>
      <c r="G31" s="17"/>
      <c r="H31" s="17"/>
      <c r="I31" s="17"/>
      <c r="J31" s="17"/>
      <c r="K31" s="28"/>
      <c r="L31" s="18">
        <f t="shared" si="3"/>
        <v>0</v>
      </c>
    </row>
    <row r="32" spans="1:37" s="7" customFormat="1" ht="17" thickBot="1" x14ac:dyDescent="0.25">
      <c r="A32" s="21"/>
      <c r="B32" s="21"/>
      <c r="C32" s="21"/>
      <c r="D32" s="125"/>
      <c r="E32" s="29" t="s">
        <v>21</v>
      </c>
      <c r="F32" s="30"/>
      <c r="G32" s="30"/>
      <c r="H32" s="30"/>
      <c r="I32" s="30"/>
      <c r="J32" s="30"/>
      <c r="K32" s="31"/>
      <c r="L32" s="18">
        <f t="shared" si="3"/>
        <v>0</v>
      </c>
      <c r="N32" s="19"/>
      <c r="AK32" s="21"/>
    </row>
    <row r="33" spans="1:37" s="7" customFormat="1" x14ac:dyDescent="0.2">
      <c r="A33" s="21"/>
      <c r="B33" s="21"/>
      <c r="C33" s="21"/>
      <c r="D33" s="126" t="s">
        <v>87</v>
      </c>
      <c r="E33" s="46" t="s">
        <v>45</v>
      </c>
      <c r="F33" s="61">
        <f>SUM(Y5:Y8)</f>
        <v>0</v>
      </c>
      <c r="G33" s="61">
        <f>SUM(Y9:Y12)</f>
        <v>0</v>
      </c>
      <c r="H33" s="61">
        <f>SUM(Y13:Y16)</f>
        <v>0</v>
      </c>
      <c r="I33" s="61">
        <f>SUM(Y19:Y19)</f>
        <v>0</v>
      </c>
      <c r="J33" s="61"/>
      <c r="K33" s="62"/>
      <c r="L33" s="18">
        <f t="shared" si="3"/>
        <v>0</v>
      </c>
      <c r="AK33" s="21"/>
    </row>
    <row r="34" spans="1:37" s="7" customFormat="1" x14ac:dyDescent="0.2">
      <c r="A34" s="21"/>
      <c r="B34" s="21"/>
      <c r="C34" s="21"/>
      <c r="D34" s="126"/>
      <c r="E34" s="47" t="s">
        <v>27</v>
      </c>
      <c r="F34" s="17"/>
      <c r="G34" s="17"/>
      <c r="H34" s="17"/>
      <c r="I34" s="17"/>
      <c r="J34" s="17"/>
      <c r="K34" s="28"/>
      <c r="L34" s="18">
        <f t="shared" si="3"/>
        <v>0</v>
      </c>
      <c r="AK34" s="21"/>
    </row>
    <row r="35" spans="1:37" s="7" customFormat="1" ht="17" x14ac:dyDescent="0.2">
      <c r="A35" s="21"/>
      <c r="B35" s="21"/>
      <c r="C35" s="21"/>
      <c r="D35" s="126"/>
      <c r="E35" s="48" t="s">
        <v>5</v>
      </c>
      <c r="F35" s="95">
        <f>SUM(AA5:AA8)</f>
        <v>3000</v>
      </c>
      <c r="G35" s="17">
        <f>SUM(AA9:AA12)</f>
        <v>0</v>
      </c>
      <c r="H35" s="17">
        <f>SUM(AA13:AA16)</f>
        <v>3000</v>
      </c>
      <c r="I35" s="17">
        <f>SUM(AA17:AA19)</f>
        <v>0</v>
      </c>
      <c r="J35" s="8"/>
      <c r="K35" s="63"/>
      <c r="L35" s="18">
        <f t="shared" si="3"/>
        <v>6000</v>
      </c>
      <c r="AK35" s="21"/>
    </row>
    <row r="36" spans="1:37" s="7" customFormat="1" ht="17" x14ac:dyDescent="0.2">
      <c r="A36" s="21"/>
      <c r="B36" s="21"/>
      <c r="C36" s="21"/>
      <c r="D36" s="126"/>
      <c r="E36" s="48" t="s">
        <v>93</v>
      </c>
      <c r="F36" s="23"/>
      <c r="G36" s="8"/>
      <c r="H36" s="8"/>
      <c r="I36" s="8"/>
      <c r="J36" s="8"/>
      <c r="K36" s="63"/>
      <c r="L36" s="18">
        <f t="shared" si="3"/>
        <v>0</v>
      </c>
      <c r="AK36" s="21"/>
    </row>
    <row r="37" spans="1:37" s="7" customFormat="1" ht="17" x14ac:dyDescent="0.2">
      <c r="A37" s="21"/>
      <c r="B37" s="21"/>
      <c r="C37" s="21"/>
      <c r="D37" s="126"/>
      <c r="E37" s="48" t="s">
        <v>92</v>
      </c>
      <c r="F37" s="23"/>
      <c r="G37" s="8"/>
      <c r="H37" s="8"/>
      <c r="I37" s="8"/>
      <c r="J37" s="8"/>
      <c r="K37" s="63"/>
      <c r="L37" s="18">
        <f t="shared" si="3"/>
        <v>0</v>
      </c>
      <c r="AK37" s="21"/>
    </row>
    <row r="38" spans="1:37" s="7" customFormat="1" ht="17" x14ac:dyDescent="0.2">
      <c r="A38" s="21"/>
      <c r="B38" s="21"/>
      <c r="C38" s="21"/>
      <c r="D38" s="126"/>
      <c r="E38" s="48" t="s">
        <v>91</v>
      </c>
      <c r="F38" s="23"/>
      <c r="G38" s="8"/>
      <c r="H38" s="8"/>
      <c r="I38" s="8"/>
      <c r="J38" s="8"/>
      <c r="K38" s="63"/>
      <c r="L38" s="18">
        <f t="shared" si="3"/>
        <v>0</v>
      </c>
      <c r="AK38" s="21"/>
    </row>
    <row r="39" spans="1:37" s="7" customFormat="1" ht="17" x14ac:dyDescent="0.2">
      <c r="A39" s="21"/>
      <c r="B39" s="21"/>
      <c r="C39" s="21"/>
      <c r="D39" s="126"/>
      <c r="E39" s="48" t="s">
        <v>25</v>
      </c>
      <c r="F39" s="95">
        <f>SUM(AE5:AE8)</f>
        <v>0</v>
      </c>
      <c r="G39" s="17">
        <f>SUM(AE9:AE12)</f>
        <v>0</v>
      </c>
      <c r="H39" s="96">
        <f>SUM(AE13:AE16)</f>
        <v>0</v>
      </c>
      <c r="I39" s="96">
        <f>SUM(AE19:AE19)</f>
        <v>0</v>
      </c>
      <c r="J39" s="8"/>
      <c r="K39" s="63"/>
      <c r="L39" s="18">
        <f t="shared" si="3"/>
        <v>0</v>
      </c>
      <c r="AK39" s="21"/>
    </row>
    <row r="40" spans="1:37" s="7" customFormat="1" ht="17" x14ac:dyDescent="0.2">
      <c r="A40" s="21"/>
      <c r="B40" s="21"/>
      <c r="C40" s="21"/>
      <c r="D40" s="126"/>
      <c r="E40" s="48" t="s">
        <v>90</v>
      </c>
      <c r="F40" s="23"/>
      <c r="G40" s="8"/>
      <c r="H40" s="8"/>
      <c r="I40" s="8"/>
      <c r="J40" s="8"/>
      <c r="K40" s="63"/>
      <c r="L40" s="18">
        <f t="shared" si="3"/>
        <v>0</v>
      </c>
      <c r="AK40" s="21"/>
    </row>
    <row r="41" spans="1:37" s="7" customFormat="1" ht="17" x14ac:dyDescent="0.2">
      <c r="A41" s="21"/>
      <c r="B41" s="21"/>
      <c r="C41" s="21"/>
      <c r="D41" s="126"/>
      <c r="E41" s="48" t="s">
        <v>89</v>
      </c>
      <c r="F41" s="23"/>
      <c r="G41" s="8"/>
      <c r="H41" s="8"/>
      <c r="I41" s="8"/>
      <c r="J41" s="8"/>
      <c r="K41" s="63"/>
      <c r="L41" s="18">
        <f t="shared" si="3"/>
        <v>0</v>
      </c>
      <c r="AK41" s="21"/>
    </row>
    <row r="42" spans="1:37" s="7" customFormat="1" ht="17" x14ac:dyDescent="0.2">
      <c r="A42" s="21"/>
      <c r="B42" s="21"/>
      <c r="C42" s="21"/>
      <c r="D42" s="126"/>
      <c r="E42" s="48" t="s">
        <v>23</v>
      </c>
      <c r="F42" s="23"/>
      <c r="G42" s="8"/>
      <c r="H42" s="8"/>
      <c r="I42" s="8"/>
      <c r="J42" s="8"/>
      <c r="K42" s="63"/>
      <c r="L42" s="18">
        <f t="shared" si="3"/>
        <v>0</v>
      </c>
      <c r="AK42" s="21"/>
    </row>
    <row r="43" spans="1:37" s="7" customFormat="1" ht="17" x14ac:dyDescent="0.2">
      <c r="A43" s="21"/>
      <c r="B43" s="21"/>
      <c r="C43" s="21"/>
      <c r="D43" s="126"/>
      <c r="E43" s="48" t="s">
        <v>24</v>
      </c>
      <c r="F43" s="95">
        <f>SUM(AI5:AI8)</f>
        <v>0</v>
      </c>
      <c r="G43" s="17">
        <f>SUM(AI9:AI12)</f>
        <v>0</v>
      </c>
      <c r="H43" s="17">
        <f>SUM(AI13:AI16)</f>
        <v>0</v>
      </c>
      <c r="I43" s="17">
        <f>SUM(AI19:AI19)</f>
        <v>0</v>
      </c>
      <c r="J43" s="8"/>
      <c r="K43" s="63"/>
      <c r="L43" s="18">
        <f t="shared" si="3"/>
        <v>0</v>
      </c>
      <c r="AK43" s="21"/>
    </row>
    <row r="44" spans="1:37" s="7" customFormat="1" ht="18" thickBot="1" x14ac:dyDescent="0.25">
      <c r="A44" s="21"/>
      <c r="B44" s="21"/>
      <c r="C44" s="21"/>
      <c r="D44" s="126"/>
      <c r="E44" s="49" t="s">
        <v>88</v>
      </c>
      <c r="F44" s="97">
        <f>SUM(AJ5:AJ8)</f>
        <v>0</v>
      </c>
      <c r="G44" s="30">
        <f>SUM(AJ9:AJ12)</f>
        <v>0</v>
      </c>
      <c r="H44" s="30">
        <f>SUM(AJ13:AJ16)</f>
        <v>0</v>
      </c>
      <c r="I44" s="30">
        <f>SUM(AJ19:AJ19)</f>
        <v>0</v>
      </c>
      <c r="J44" s="64"/>
      <c r="K44" s="65"/>
      <c r="L44" s="18">
        <f t="shared" si="3"/>
        <v>0</v>
      </c>
      <c r="AK44" s="21"/>
    </row>
    <row r="45" spans="1:37" s="7" customFormat="1" x14ac:dyDescent="0.2">
      <c r="A45" s="21"/>
      <c r="B45" s="21"/>
      <c r="C45" s="21"/>
      <c r="D45" s="21"/>
      <c r="E45" s="68" t="s">
        <v>98</v>
      </c>
      <c r="F45" s="69">
        <f t="shared" ref="F45:K45" si="4">SUM(F23:F44)</f>
        <v>3000</v>
      </c>
      <c r="G45" s="69">
        <f t="shared" si="4"/>
        <v>0</v>
      </c>
      <c r="H45" s="69">
        <f t="shared" si="4"/>
        <v>3000</v>
      </c>
      <c r="I45" s="69">
        <f t="shared" si="4"/>
        <v>0</v>
      </c>
      <c r="J45" s="69">
        <f t="shared" si="4"/>
        <v>0</v>
      </c>
      <c r="K45" s="69">
        <f t="shared" si="4"/>
        <v>0</v>
      </c>
      <c r="L45" s="18">
        <f t="shared" si="3"/>
        <v>6000</v>
      </c>
      <c r="AK45" s="21"/>
    </row>
  </sheetData>
  <mergeCells count="17">
    <mergeCell ref="H2:X2"/>
    <mergeCell ref="Y2:AJ2"/>
    <mergeCell ref="C3:C4"/>
    <mergeCell ref="D3:D4"/>
    <mergeCell ref="E3:E4"/>
    <mergeCell ref="F3:F4"/>
    <mergeCell ref="G3:G4"/>
    <mergeCell ref="H3:L3"/>
    <mergeCell ref="M3:T3"/>
    <mergeCell ref="U3:X3"/>
    <mergeCell ref="D23:D32"/>
    <mergeCell ref="D33:D44"/>
    <mergeCell ref="AB3:AJ3"/>
    <mergeCell ref="B5:B8"/>
    <mergeCell ref="B9:B12"/>
    <mergeCell ref="B13:B16"/>
    <mergeCell ref="B17:B19"/>
  </mergeCells>
  <pageMargins left="0.7" right="0.7" top="0.75" bottom="0.75" header="0.3" footer="0.3"/>
  <drawing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8B884-834C-490D-9431-61A398D7CBBD}">
  <sheetPr>
    <tabColor theme="7" tint="0.59999389629810485"/>
  </sheetPr>
  <dimension ref="A2:AK45"/>
  <sheetViews>
    <sheetView showGridLines="0" topLeftCell="A16" zoomScale="80" zoomScaleNormal="80" workbookViewId="0">
      <selection activeCell="AJ5" sqref="AJ5:AJ18"/>
    </sheetView>
  </sheetViews>
  <sheetFormatPr baseColWidth="10" defaultColWidth="13.83203125" defaultRowHeight="16" x14ac:dyDescent="0.2"/>
  <cols>
    <col min="1" max="1" width="3.6640625" style="21" customWidth="1"/>
    <col min="2" max="4" width="13.83203125" style="21"/>
    <col min="5" max="5" width="33.83203125" style="21" customWidth="1"/>
    <col min="6" max="6" width="13.83203125" style="21"/>
    <col min="7" max="7" width="17.6640625" style="7" bestFit="1" customWidth="1"/>
    <col min="8" max="8" width="14" style="7" customWidth="1"/>
    <col min="9" max="9" width="16.33203125" style="7" customWidth="1"/>
    <col min="10" max="11" width="14.33203125" style="7" customWidth="1"/>
    <col min="12" max="12" width="16" style="7" customWidth="1"/>
    <col min="13" max="13" width="12.6640625" style="7" customWidth="1"/>
    <col min="14" max="18" width="14.33203125" style="7" customWidth="1"/>
    <col min="19" max="19" width="15.6640625" style="7" customWidth="1"/>
    <col min="20" max="20" width="14.33203125" style="7" customWidth="1"/>
    <col min="21" max="23" width="11.5" style="7" customWidth="1"/>
    <col min="24" max="24" width="13.83203125" style="7" customWidth="1"/>
    <col min="25" max="25" width="17.1640625" style="7" customWidth="1"/>
    <col min="26" max="26" width="12.33203125" style="7" customWidth="1"/>
    <col min="27" max="27" width="14.5" style="7" bestFit="1" customWidth="1"/>
    <col min="28" max="36" width="14.5" style="7" customWidth="1"/>
    <col min="37" max="37" width="13.83203125" style="21"/>
    <col min="38" max="38" width="10.1640625" style="21" customWidth="1"/>
    <col min="39" max="16384" width="13.83203125" style="21"/>
  </cols>
  <sheetData>
    <row r="2" spans="2:37" ht="24" x14ac:dyDescent="0.3">
      <c r="C2" s="11"/>
      <c r="D2" s="11"/>
      <c r="E2" s="7"/>
      <c r="F2" s="7"/>
      <c r="H2" s="129" t="s">
        <v>50</v>
      </c>
      <c r="I2" s="129"/>
      <c r="J2" s="129"/>
      <c r="K2" s="129"/>
      <c r="L2" s="129"/>
      <c r="M2" s="129"/>
      <c r="N2" s="129"/>
      <c r="O2" s="129"/>
      <c r="P2" s="129"/>
      <c r="Q2" s="129"/>
      <c r="R2" s="129"/>
      <c r="S2" s="129"/>
      <c r="T2" s="129"/>
      <c r="U2" s="129"/>
      <c r="V2" s="129"/>
      <c r="W2" s="129"/>
      <c r="X2" s="129"/>
      <c r="Y2" s="130"/>
      <c r="Z2" s="130"/>
      <c r="AA2" s="130"/>
      <c r="AB2" s="130"/>
      <c r="AC2" s="130"/>
      <c r="AD2" s="130"/>
      <c r="AE2" s="130"/>
      <c r="AF2" s="130"/>
      <c r="AG2" s="130"/>
      <c r="AH2" s="130"/>
      <c r="AI2" s="130"/>
      <c r="AJ2" s="130"/>
    </row>
    <row r="3" spans="2:37" ht="21" x14ac:dyDescent="0.25">
      <c r="C3" s="131" t="s">
        <v>53</v>
      </c>
      <c r="D3" s="133" t="s">
        <v>48</v>
      </c>
      <c r="E3" s="135" t="s">
        <v>2</v>
      </c>
      <c r="F3" s="135" t="s">
        <v>3</v>
      </c>
      <c r="G3" s="137" t="s">
        <v>4</v>
      </c>
      <c r="H3" s="139" t="s">
        <v>60</v>
      </c>
      <c r="I3" s="140"/>
      <c r="J3" s="140"/>
      <c r="K3" s="140"/>
      <c r="L3" s="141"/>
      <c r="M3" s="139" t="s">
        <v>1</v>
      </c>
      <c r="N3" s="140"/>
      <c r="O3" s="140"/>
      <c r="P3" s="140"/>
      <c r="Q3" s="140"/>
      <c r="R3" s="140"/>
      <c r="S3" s="140"/>
      <c r="T3" s="141"/>
      <c r="U3" s="139" t="s">
        <v>85</v>
      </c>
      <c r="V3" s="140"/>
      <c r="W3" s="140"/>
      <c r="X3" s="141"/>
      <c r="Y3" s="44" t="s">
        <v>0</v>
      </c>
      <c r="Z3" s="44" t="s">
        <v>83</v>
      </c>
      <c r="AA3" s="44" t="s">
        <v>86</v>
      </c>
      <c r="AB3" s="127"/>
      <c r="AC3" s="127"/>
      <c r="AD3" s="127"/>
      <c r="AE3" s="127"/>
      <c r="AF3" s="127"/>
      <c r="AG3" s="127"/>
      <c r="AH3" s="127"/>
      <c r="AI3" s="127"/>
      <c r="AJ3" s="127"/>
    </row>
    <row r="4" spans="2:37" ht="64" x14ac:dyDescent="0.2">
      <c r="C4" s="132"/>
      <c r="D4" s="134"/>
      <c r="E4" s="136"/>
      <c r="F4" s="136"/>
      <c r="G4" s="138"/>
      <c r="H4" s="67" t="s">
        <v>99</v>
      </c>
      <c r="I4" s="43" t="s">
        <v>52</v>
      </c>
      <c r="J4" s="43" t="s">
        <v>61</v>
      </c>
      <c r="K4" s="43" t="s">
        <v>62</v>
      </c>
      <c r="L4" s="43" t="s">
        <v>63</v>
      </c>
      <c r="M4" s="67" t="s">
        <v>11</v>
      </c>
      <c r="N4" s="67" t="s">
        <v>12</v>
      </c>
      <c r="O4" s="67" t="s">
        <v>13</v>
      </c>
      <c r="P4" s="67" t="s">
        <v>14</v>
      </c>
      <c r="Q4" s="67" t="s">
        <v>15</v>
      </c>
      <c r="R4" s="67" t="s">
        <v>16</v>
      </c>
      <c r="S4" s="43" t="s">
        <v>17</v>
      </c>
      <c r="T4" s="43" t="s">
        <v>18</v>
      </c>
      <c r="U4" s="43" t="s">
        <v>19</v>
      </c>
      <c r="V4" s="43" t="s">
        <v>100</v>
      </c>
      <c r="W4" s="43" t="s">
        <v>20</v>
      </c>
      <c r="X4" s="43" t="s">
        <v>21</v>
      </c>
      <c r="Y4" s="43" t="s">
        <v>10</v>
      </c>
      <c r="Z4" s="43" t="s">
        <v>27</v>
      </c>
      <c r="AA4" s="43" t="s">
        <v>5</v>
      </c>
      <c r="AB4" s="43" t="s">
        <v>6</v>
      </c>
      <c r="AC4" s="43" t="s">
        <v>7</v>
      </c>
      <c r="AD4" s="43" t="s">
        <v>8</v>
      </c>
      <c r="AE4" s="43" t="s">
        <v>25</v>
      </c>
      <c r="AF4" s="43" t="s">
        <v>9</v>
      </c>
      <c r="AG4" s="43" t="s">
        <v>22</v>
      </c>
      <c r="AH4" s="43" t="s">
        <v>23</v>
      </c>
      <c r="AI4" s="43" t="s">
        <v>24</v>
      </c>
      <c r="AJ4" s="43" t="s">
        <v>26</v>
      </c>
      <c r="AK4" s="101" t="s">
        <v>96</v>
      </c>
    </row>
    <row r="5" spans="2:37" x14ac:dyDescent="0.2">
      <c r="B5" s="128" t="s">
        <v>64</v>
      </c>
      <c r="C5" s="51" t="s">
        <v>82</v>
      </c>
      <c r="D5" s="77">
        <v>1</v>
      </c>
      <c r="E5" s="78" t="s">
        <v>40</v>
      </c>
      <c r="F5" s="70" t="s">
        <v>30</v>
      </c>
      <c r="G5" s="55"/>
      <c r="H5" s="55"/>
      <c r="I5" s="55"/>
      <c r="J5" s="55"/>
      <c r="K5" s="86"/>
      <c r="L5" s="55"/>
      <c r="M5" s="55"/>
      <c r="N5" s="55"/>
      <c r="O5" s="55"/>
      <c r="P5" s="55"/>
      <c r="Q5" s="55"/>
      <c r="R5" s="55"/>
      <c r="S5" s="89"/>
      <c r="T5" s="55"/>
      <c r="U5" s="55"/>
      <c r="V5" s="55"/>
      <c r="W5" s="55"/>
      <c r="X5" s="55"/>
      <c r="Y5" s="86">
        <v>0</v>
      </c>
      <c r="Z5" s="55"/>
      <c r="AA5" s="86">
        <v>0</v>
      </c>
      <c r="AB5" s="55"/>
      <c r="AC5" s="55"/>
      <c r="AD5" s="55"/>
      <c r="AE5" s="86">
        <v>0</v>
      </c>
      <c r="AF5" s="55"/>
      <c r="AG5" s="55"/>
      <c r="AH5" s="55"/>
      <c r="AI5" s="86">
        <v>0</v>
      </c>
      <c r="AJ5" s="41">
        <v>0</v>
      </c>
      <c r="AK5" s="100">
        <f t="shared" ref="AK5:AK16" si="0">SUM(S5:AJ5)+SUM(I5:L5)</f>
        <v>0</v>
      </c>
    </row>
    <row r="6" spans="2:37" x14ac:dyDescent="0.2">
      <c r="B6" s="128"/>
      <c r="C6" s="34" t="s">
        <v>68</v>
      </c>
      <c r="D6" s="72">
        <v>2</v>
      </c>
      <c r="E6" s="73" t="s">
        <v>118</v>
      </c>
      <c r="F6" s="74" t="s">
        <v>29</v>
      </c>
      <c r="G6" s="33"/>
      <c r="H6" s="17"/>
      <c r="I6" s="17">
        <f>I5*G6</f>
        <v>0</v>
      </c>
      <c r="J6" s="17"/>
      <c r="K6" s="90">
        <v>0</v>
      </c>
      <c r="L6" s="17"/>
      <c r="M6" s="33"/>
      <c r="N6" s="33"/>
      <c r="O6" s="24"/>
      <c r="P6" s="24"/>
      <c r="Q6" s="24"/>
      <c r="R6" s="17">
        <f>O6*0.045</f>
        <v>0</v>
      </c>
      <c r="S6" s="20"/>
      <c r="T6" s="90">
        <f t="shared" ref="T6:T16" si="1">SUM(O6:R6)*M6*N6</f>
        <v>0</v>
      </c>
      <c r="U6" s="17"/>
      <c r="V6" s="24">
        <v>0</v>
      </c>
      <c r="W6" s="17"/>
      <c r="X6" s="17"/>
      <c r="Y6" s="90"/>
      <c r="Z6" s="17"/>
      <c r="AA6" s="90">
        <v>0</v>
      </c>
      <c r="AB6" s="10"/>
      <c r="AC6" s="10"/>
      <c r="AD6" s="10"/>
      <c r="AE6" s="10"/>
      <c r="AF6" s="10"/>
      <c r="AG6" s="17"/>
      <c r="AH6" s="17"/>
      <c r="AI6" s="17"/>
      <c r="AJ6" s="17"/>
      <c r="AK6" s="100">
        <f t="shared" si="0"/>
        <v>0</v>
      </c>
    </row>
    <row r="7" spans="2:37" x14ac:dyDescent="0.2">
      <c r="B7" s="128"/>
      <c r="C7" s="15" t="s">
        <v>69</v>
      </c>
      <c r="D7" s="75">
        <v>3</v>
      </c>
      <c r="E7" s="73" t="s">
        <v>117</v>
      </c>
      <c r="F7" s="74" t="s">
        <v>29</v>
      </c>
      <c r="G7" s="33"/>
      <c r="H7" s="17"/>
      <c r="I7" s="17">
        <f>I6*G7</f>
        <v>0</v>
      </c>
      <c r="J7" s="17"/>
      <c r="K7" s="90">
        <v>0</v>
      </c>
      <c r="L7" s="17"/>
      <c r="M7" s="33"/>
      <c r="N7" s="33"/>
      <c r="O7" s="24"/>
      <c r="P7" s="24"/>
      <c r="Q7" s="24"/>
      <c r="R7" s="17">
        <f>O7*0.045</f>
        <v>0</v>
      </c>
      <c r="S7" s="20"/>
      <c r="T7" s="90">
        <f t="shared" si="1"/>
        <v>0</v>
      </c>
      <c r="U7" s="17"/>
      <c r="V7" s="24">
        <v>0</v>
      </c>
      <c r="W7" s="17"/>
      <c r="X7" s="17"/>
      <c r="Y7" s="90"/>
      <c r="Z7" s="17"/>
      <c r="AA7" s="90">
        <v>0</v>
      </c>
      <c r="AB7" s="10"/>
      <c r="AC7" s="10"/>
      <c r="AD7" s="10"/>
      <c r="AE7" s="10"/>
      <c r="AF7" s="10"/>
      <c r="AG7" s="17"/>
      <c r="AH7" s="17"/>
      <c r="AI7" s="17"/>
      <c r="AJ7" s="17"/>
      <c r="AK7" s="100">
        <f t="shared" si="0"/>
        <v>0</v>
      </c>
    </row>
    <row r="8" spans="2:37" x14ac:dyDescent="0.2">
      <c r="B8" s="128"/>
      <c r="C8" s="55" t="s">
        <v>94</v>
      </c>
      <c r="D8" s="77">
        <v>4</v>
      </c>
      <c r="E8" s="79" t="s">
        <v>116</v>
      </c>
      <c r="F8" s="80" t="s">
        <v>30</v>
      </c>
      <c r="G8" s="55"/>
      <c r="H8" s="57"/>
      <c r="I8" s="57"/>
      <c r="J8" s="57"/>
      <c r="K8" s="86"/>
      <c r="L8" s="57"/>
      <c r="M8" s="55"/>
      <c r="N8" s="55"/>
      <c r="O8" s="57"/>
      <c r="P8" s="57"/>
      <c r="Q8" s="57"/>
      <c r="R8" s="57"/>
      <c r="S8" s="82"/>
      <c r="T8" s="57">
        <f t="shared" si="1"/>
        <v>0</v>
      </c>
      <c r="U8" s="57"/>
      <c r="V8" s="57"/>
      <c r="W8" s="57"/>
      <c r="X8" s="57"/>
      <c r="Y8" s="86"/>
      <c r="Z8" s="57"/>
      <c r="AA8" s="86">
        <v>3000</v>
      </c>
      <c r="AB8" s="58"/>
      <c r="AC8" s="58"/>
      <c r="AD8" s="58"/>
      <c r="AE8" s="86">
        <v>0</v>
      </c>
      <c r="AF8" s="58"/>
      <c r="AG8" s="57"/>
      <c r="AH8" s="57"/>
      <c r="AI8" s="86">
        <v>0</v>
      </c>
      <c r="AJ8" s="41">
        <v>0</v>
      </c>
      <c r="AK8" s="100">
        <f t="shared" si="0"/>
        <v>3000</v>
      </c>
    </row>
    <row r="9" spans="2:37" x14ac:dyDescent="0.2">
      <c r="B9" s="128" t="s">
        <v>65</v>
      </c>
      <c r="C9" s="51" t="s">
        <v>81</v>
      </c>
      <c r="D9" s="77">
        <v>5</v>
      </c>
      <c r="E9" s="79" t="s">
        <v>115</v>
      </c>
      <c r="F9" s="80" t="s">
        <v>30</v>
      </c>
      <c r="G9" s="55"/>
      <c r="H9" s="57"/>
      <c r="I9" s="57"/>
      <c r="J9" s="57"/>
      <c r="K9" s="86"/>
      <c r="L9" s="57"/>
      <c r="M9" s="55"/>
      <c r="N9" s="55"/>
      <c r="O9" s="57"/>
      <c r="P9" s="57"/>
      <c r="Q9" s="57"/>
      <c r="R9" s="57"/>
      <c r="S9" s="82"/>
      <c r="T9" s="57">
        <f t="shared" si="1"/>
        <v>0</v>
      </c>
      <c r="U9" s="57"/>
      <c r="V9" s="57"/>
      <c r="W9" s="57"/>
      <c r="X9" s="57"/>
      <c r="Y9" s="86"/>
      <c r="Z9" s="57"/>
      <c r="AA9" s="86">
        <v>0</v>
      </c>
      <c r="AB9" s="58"/>
      <c r="AC9" s="58"/>
      <c r="AD9" s="58"/>
      <c r="AE9" s="86">
        <v>0</v>
      </c>
      <c r="AF9" s="58"/>
      <c r="AG9" s="57"/>
      <c r="AH9" s="57"/>
      <c r="AI9" s="86">
        <v>0</v>
      </c>
      <c r="AJ9" s="41">
        <v>0</v>
      </c>
      <c r="AK9" s="100">
        <f t="shared" si="0"/>
        <v>0</v>
      </c>
    </row>
    <row r="10" spans="2:37" x14ac:dyDescent="0.2">
      <c r="B10" s="128"/>
      <c r="C10" s="15" t="s">
        <v>70</v>
      </c>
      <c r="D10" s="75">
        <v>6</v>
      </c>
      <c r="E10" s="73" t="s">
        <v>105</v>
      </c>
      <c r="F10" s="74" t="s">
        <v>29</v>
      </c>
      <c r="G10" s="33"/>
      <c r="H10" s="17"/>
      <c r="I10" s="17">
        <f>I9*G10</f>
        <v>0</v>
      </c>
      <c r="J10" s="17"/>
      <c r="K10" s="90">
        <v>0</v>
      </c>
      <c r="L10" s="17"/>
      <c r="M10" s="33"/>
      <c r="N10" s="33"/>
      <c r="O10" s="24"/>
      <c r="P10" s="24"/>
      <c r="Q10" s="24"/>
      <c r="R10" s="17">
        <f>O10*0.045</f>
        <v>0</v>
      </c>
      <c r="S10" s="20"/>
      <c r="T10" s="90">
        <f t="shared" si="1"/>
        <v>0</v>
      </c>
      <c r="U10" s="17"/>
      <c r="V10" s="24">
        <v>0</v>
      </c>
      <c r="W10" s="17"/>
      <c r="X10" s="17"/>
      <c r="Y10" s="90"/>
      <c r="Z10" s="17"/>
      <c r="AA10" s="90">
        <v>0</v>
      </c>
      <c r="AB10" s="10"/>
      <c r="AC10" s="10"/>
      <c r="AD10" s="10"/>
      <c r="AE10" s="10"/>
      <c r="AF10" s="10"/>
      <c r="AG10" s="17"/>
      <c r="AH10" s="17"/>
      <c r="AI10" s="17"/>
      <c r="AJ10" s="17"/>
      <c r="AK10" s="100">
        <f t="shared" si="0"/>
        <v>0</v>
      </c>
    </row>
    <row r="11" spans="2:37" x14ac:dyDescent="0.2">
      <c r="B11" s="128"/>
      <c r="C11" s="15" t="s">
        <v>71</v>
      </c>
      <c r="D11" s="75">
        <v>7</v>
      </c>
      <c r="E11" s="73" t="s">
        <v>114</v>
      </c>
      <c r="F11" s="74" t="s">
        <v>29</v>
      </c>
      <c r="G11" s="33"/>
      <c r="H11" s="17"/>
      <c r="I11" s="17">
        <f>I10*G11</f>
        <v>0</v>
      </c>
      <c r="J11" s="17"/>
      <c r="K11" s="90">
        <v>0</v>
      </c>
      <c r="L11" s="17"/>
      <c r="M11" s="33"/>
      <c r="N11" s="33"/>
      <c r="O11" s="24"/>
      <c r="P11" s="24"/>
      <c r="Q11" s="24"/>
      <c r="R11" s="17">
        <f>O11*0.045</f>
        <v>0</v>
      </c>
      <c r="S11" s="20"/>
      <c r="T11" s="90">
        <f t="shared" si="1"/>
        <v>0</v>
      </c>
      <c r="U11" s="17"/>
      <c r="V11" s="24">
        <v>0</v>
      </c>
      <c r="W11" s="17"/>
      <c r="X11" s="17"/>
      <c r="Y11" s="90"/>
      <c r="Z11" s="17"/>
      <c r="AA11" s="90">
        <v>0</v>
      </c>
      <c r="AB11" s="10"/>
      <c r="AC11" s="10"/>
      <c r="AD11" s="10"/>
      <c r="AE11" s="10"/>
      <c r="AF11" s="10"/>
      <c r="AG11" s="17"/>
      <c r="AH11" s="17"/>
      <c r="AI11" s="17"/>
      <c r="AJ11" s="17"/>
      <c r="AK11" s="100">
        <f t="shared" si="0"/>
        <v>0</v>
      </c>
    </row>
    <row r="12" spans="2:37" x14ac:dyDescent="0.2">
      <c r="B12" s="128"/>
      <c r="C12" s="51" t="s">
        <v>72</v>
      </c>
      <c r="D12" s="77">
        <v>8</v>
      </c>
      <c r="E12" s="79" t="s">
        <v>104</v>
      </c>
      <c r="F12" s="80" t="s">
        <v>30</v>
      </c>
      <c r="G12" s="55"/>
      <c r="H12" s="57"/>
      <c r="I12" s="57"/>
      <c r="J12" s="57"/>
      <c r="K12" s="86"/>
      <c r="L12" s="57"/>
      <c r="M12" s="55"/>
      <c r="N12" s="55"/>
      <c r="O12" s="57"/>
      <c r="P12" s="57"/>
      <c r="Q12" s="57"/>
      <c r="R12" s="57"/>
      <c r="S12" s="82"/>
      <c r="T12" s="57">
        <f t="shared" si="1"/>
        <v>0</v>
      </c>
      <c r="U12" s="57"/>
      <c r="V12" s="57"/>
      <c r="W12" s="57"/>
      <c r="X12" s="57"/>
      <c r="Y12" s="86"/>
      <c r="Z12" s="57"/>
      <c r="AA12" s="86">
        <v>0</v>
      </c>
      <c r="AB12" s="58"/>
      <c r="AC12" s="58"/>
      <c r="AD12" s="58"/>
      <c r="AE12" s="86">
        <v>0</v>
      </c>
      <c r="AF12" s="58"/>
      <c r="AG12" s="57"/>
      <c r="AH12" s="57"/>
      <c r="AI12" s="86">
        <v>0</v>
      </c>
      <c r="AJ12" s="41">
        <v>0</v>
      </c>
      <c r="AK12" s="100">
        <f t="shared" si="0"/>
        <v>0</v>
      </c>
    </row>
    <row r="13" spans="2:37" x14ac:dyDescent="0.2">
      <c r="B13" s="128" t="s">
        <v>66</v>
      </c>
      <c r="C13" s="15" t="s">
        <v>73</v>
      </c>
      <c r="D13" s="75">
        <v>9</v>
      </c>
      <c r="E13" s="73" t="s">
        <v>103</v>
      </c>
      <c r="F13" s="74" t="s">
        <v>29</v>
      </c>
      <c r="G13" s="33"/>
      <c r="H13" s="21"/>
      <c r="I13" s="17"/>
      <c r="J13" s="17"/>
      <c r="K13" s="90">
        <v>0</v>
      </c>
      <c r="L13" s="17"/>
      <c r="M13" s="33"/>
      <c r="N13" s="33"/>
      <c r="O13" s="24"/>
      <c r="P13" s="24"/>
      <c r="Q13" s="24"/>
      <c r="R13" s="17">
        <f>O13*0.045</f>
        <v>0</v>
      </c>
      <c r="S13" s="20"/>
      <c r="T13" s="90">
        <f t="shared" si="1"/>
        <v>0</v>
      </c>
      <c r="U13" s="17"/>
      <c r="V13" s="24"/>
      <c r="W13" s="17"/>
      <c r="X13" s="17"/>
      <c r="Y13" s="90"/>
      <c r="Z13" s="17"/>
      <c r="AA13" s="90">
        <v>0</v>
      </c>
      <c r="AB13" s="10"/>
      <c r="AC13" s="10"/>
      <c r="AD13" s="10"/>
      <c r="AE13" s="10"/>
      <c r="AF13" s="10"/>
      <c r="AG13" s="17"/>
      <c r="AH13" s="17"/>
      <c r="AI13" s="17"/>
      <c r="AJ13" s="17"/>
      <c r="AK13" s="100">
        <f t="shared" si="0"/>
        <v>0</v>
      </c>
    </row>
    <row r="14" spans="2:37" x14ac:dyDescent="0.2">
      <c r="B14" s="128"/>
      <c r="C14" s="51" t="s">
        <v>74</v>
      </c>
      <c r="D14" s="77">
        <v>10</v>
      </c>
      <c r="E14" s="79" t="s">
        <v>113</v>
      </c>
      <c r="F14" s="81" t="s">
        <v>30</v>
      </c>
      <c r="G14" s="55"/>
      <c r="H14" s="57"/>
      <c r="I14" s="57"/>
      <c r="J14" s="57"/>
      <c r="K14" s="86"/>
      <c r="L14" s="57"/>
      <c r="M14" s="55"/>
      <c r="N14" s="55"/>
      <c r="O14" s="57"/>
      <c r="P14" s="57"/>
      <c r="Q14" s="57"/>
      <c r="R14" s="57"/>
      <c r="S14" s="82"/>
      <c r="T14" s="57">
        <f t="shared" si="1"/>
        <v>0</v>
      </c>
      <c r="U14" s="57"/>
      <c r="V14" s="57"/>
      <c r="W14" s="57"/>
      <c r="X14" s="57"/>
      <c r="Y14" s="86"/>
      <c r="Z14" s="57"/>
      <c r="AA14" s="86">
        <v>0</v>
      </c>
      <c r="AB14" s="58"/>
      <c r="AC14" s="58"/>
      <c r="AD14" s="58"/>
      <c r="AE14" s="86">
        <v>0</v>
      </c>
      <c r="AF14" s="58"/>
      <c r="AG14" s="57"/>
      <c r="AH14" s="57"/>
      <c r="AI14" s="86">
        <v>0</v>
      </c>
      <c r="AJ14" s="41">
        <v>0</v>
      </c>
      <c r="AK14" s="100">
        <f t="shared" si="0"/>
        <v>0</v>
      </c>
    </row>
    <row r="15" spans="2:37" x14ac:dyDescent="0.2">
      <c r="B15" s="128"/>
      <c r="C15" s="51" t="s">
        <v>75</v>
      </c>
      <c r="D15" s="77">
        <v>11</v>
      </c>
      <c r="E15" s="79" t="s">
        <v>112</v>
      </c>
      <c r="F15" s="81" t="s">
        <v>30</v>
      </c>
      <c r="G15" s="55"/>
      <c r="H15" s="57"/>
      <c r="I15" s="57"/>
      <c r="J15" s="57"/>
      <c r="K15" s="86"/>
      <c r="L15" s="57"/>
      <c r="M15" s="55"/>
      <c r="N15" s="55"/>
      <c r="O15" s="57"/>
      <c r="P15" s="57"/>
      <c r="Q15" s="57"/>
      <c r="R15" s="57"/>
      <c r="S15" s="82"/>
      <c r="T15" s="57">
        <f t="shared" si="1"/>
        <v>0</v>
      </c>
      <c r="U15" s="57"/>
      <c r="V15" s="57"/>
      <c r="W15" s="57"/>
      <c r="X15" s="57"/>
      <c r="Y15" s="86"/>
      <c r="Z15" s="57"/>
      <c r="AA15" s="86">
        <v>3000</v>
      </c>
      <c r="AB15" s="58"/>
      <c r="AC15" s="58"/>
      <c r="AD15" s="58"/>
      <c r="AE15" s="86">
        <v>0</v>
      </c>
      <c r="AF15" s="58"/>
      <c r="AG15" s="57"/>
      <c r="AH15" s="57"/>
      <c r="AI15" s="86">
        <v>0</v>
      </c>
      <c r="AJ15" s="41">
        <v>0</v>
      </c>
      <c r="AK15" s="100">
        <f t="shared" si="0"/>
        <v>3000</v>
      </c>
    </row>
    <row r="16" spans="2:37" x14ac:dyDescent="0.2">
      <c r="B16" s="128"/>
      <c r="C16" s="15" t="s">
        <v>80</v>
      </c>
      <c r="D16" s="75">
        <v>12</v>
      </c>
      <c r="E16" s="73" t="s">
        <v>111</v>
      </c>
      <c r="F16" s="74" t="s">
        <v>29</v>
      </c>
      <c r="G16" s="33"/>
      <c r="H16" s="17"/>
      <c r="I16" s="17">
        <f>I15*G16</f>
        <v>0</v>
      </c>
      <c r="J16" s="17"/>
      <c r="K16" s="90">
        <v>0</v>
      </c>
      <c r="L16" s="17"/>
      <c r="M16" s="33"/>
      <c r="N16" s="33"/>
      <c r="O16" s="24"/>
      <c r="P16" s="24"/>
      <c r="Q16" s="24"/>
      <c r="R16" s="17">
        <f>O16*0.045</f>
        <v>0</v>
      </c>
      <c r="S16" s="20"/>
      <c r="T16" s="90">
        <f t="shared" si="1"/>
        <v>0</v>
      </c>
      <c r="U16" s="17"/>
      <c r="V16" s="24"/>
      <c r="W16" s="17"/>
      <c r="X16" s="17"/>
      <c r="Y16" s="90"/>
      <c r="Z16" s="17"/>
      <c r="AA16" s="90">
        <v>0</v>
      </c>
      <c r="AB16" s="10"/>
      <c r="AC16" s="10"/>
      <c r="AD16" s="10"/>
      <c r="AE16" s="10"/>
      <c r="AF16" s="10"/>
      <c r="AG16" s="17"/>
      <c r="AH16" s="17"/>
      <c r="AI16" s="17"/>
      <c r="AJ16" s="17"/>
      <c r="AK16" s="100">
        <f t="shared" si="0"/>
        <v>0</v>
      </c>
    </row>
    <row r="17" spans="1:37" x14ac:dyDescent="0.2">
      <c r="B17" s="142" t="s">
        <v>67</v>
      </c>
      <c r="C17" s="15" t="s">
        <v>76</v>
      </c>
      <c r="D17" s="75">
        <v>13</v>
      </c>
      <c r="E17" s="73" t="s">
        <v>110</v>
      </c>
      <c r="F17" s="74" t="s">
        <v>29</v>
      </c>
      <c r="G17" s="33"/>
      <c r="H17" s="17"/>
      <c r="I17" s="17"/>
      <c r="J17" s="17"/>
      <c r="K17" s="90"/>
      <c r="L17" s="17"/>
      <c r="M17" s="33"/>
      <c r="N17" s="33"/>
      <c r="O17" s="24"/>
      <c r="P17" s="24"/>
      <c r="Q17" s="24"/>
      <c r="R17" s="17"/>
      <c r="S17" s="20"/>
      <c r="T17" s="90"/>
      <c r="U17" s="17"/>
      <c r="V17" s="24"/>
      <c r="W17" s="17"/>
      <c r="X17" s="17"/>
      <c r="Y17" s="90"/>
      <c r="Z17" s="17"/>
      <c r="AA17" s="90"/>
      <c r="AB17" s="10"/>
      <c r="AC17" s="10"/>
      <c r="AD17" s="10"/>
      <c r="AE17" s="10"/>
      <c r="AF17" s="10"/>
      <c r="AG17" s="17"/>
      <c r="AH17" s="17"/>
      <c r="AI17" s="17"/>
      <c r="AJ17" s="17"/>
      <c r="AK17" s="100"/>
    </row>
    <row r="18" spans="1:37" x14ac:dyDescent="0.2">
      <c r="B18" s="143"/>
      <c r="C18" s="51" t="s">
        <v>77</v>
      </c>
      <c r="D18" s="77">
        <v>14</v>
      </c>
      <c r="E18" s="79" t="s">
        <v>109</v>
      </c>
      <c r="F18" s="81" t="s">
        <v>30</v>
      </c>
      <c r="G18" s="82"/>
      <c r="H18" s="82"/>
      <c r="I18" s="82"/>
      <c r="J18" s="57"/>
      <c r="K18" s="93"/>
      <c r="L18" s="57"/>
      <c r="M18" s="54"/>
      <c r="N18" s="54"/>
      <c r="O18" s="54"/>
      <c r="P18" s="83"/>
      <c r="Q18" s="83"/>
      <c r="R18" s="83"/>
      <c r="S18" s="82"/>
      <c r="T18" s="83"/>
      <c r="U18" s="57"/>
      <c r="V18" s="54"/>
      <c r="W18" s="57"/>
      <c r="X18" s="57"/>
      <c r="Y18" s="94"/>
      <c r="Z18" s="57"/>
      <c r="AA18" s="86"/>
      <c r="AB18" s="58"/>
      <c r="AC18" s="58"/>
      <c r="AD18" s="58"/>
      <c r="AE18" s="86"/>
      <c r="AF18" s="58"/>
      <c r="AG18" s="57"/>
      <c r="AH18" s="57"/>
      <c r="AI18" s="86"/>
      <c r="AJ18" s="41"/>
      <c r="AK18" s="100"/>
    </row>
    <row r="19" spans="1:37" x14ac:dyDescent="0.2">
      <c r="B19" s="144"/>
      <c r="C19" s="15" t="s">
        <v>78</v>
      </c>
      <c r="D19" s="75">
        <v>15</v>
      </c>
      <c r="E19" s="73" t="s">
        <v>108</v>
      </c>
      <c r="F19" s="76" t="s">
        <v>29</v>
      </c>
      <c r="G19" s="33"/>
      <c r="H19" s="17"/>
      <c r="I19" s="17">
        <f>I16*G19</f>
        <v>0</v>
      </c>
      <c r="J19" s="17"/>
      <c r="K19" s="90">
        <v>0</v>
      </c>
      <c r="L19" s="17"/>
      <c r="M19" s="33"/>
      <c r="N19" s="33"/>
      <c r="O19" s="24"/>
      <c r="P19" s="24"/>
      <c r="Q19" s="24"/>
      <c r="R19" s="17">
        <f>O19*0.045</f>
        <v>0</v>
      </c>
      <c r="S19" s="20"/>
      <c r="T19" s="90">
        <f>SUM(O19:R19)*M19*N19</f>
        <v>0</v>
      </c>
      <c r="U19" s="17"/>
      <c r="V19" s="24"/>
      <c r="W19" s="17"/>
      <c r="X19" s="17"/>
      <c r="Y19" s="90"/>
      <c r="Z19" s="17"/>
      <c r="AA19" s="90">
        <v>0</v>
      </c>
      <c r="AB19" s="10"/>
      <c r="AC19" s="10"/>
      <c r="AD19" s="10"/>
      <c r="AE19" s="10"/>
      <c r="AF19" s="10"/>
      <c r="AG19" s="17"/>
      <c r="AH19" s="17"/>
      <c r="AI19" s="17"/>
      <c r="AJ19" s="17"/>
      <c r="AK19" s="100">
        <f>SUM(S19:AJ19)+SUM(I19:L19)</f>
        <v>0</v>
      </c>
    </row>
    <row r="20" spans="1:37" x14ac:dyDescent="0.2">
      <c r="B20" s="35"/>
      <c r="C20" s="12"/>
      <c r="D20" s="37"/>
      <c r="E20" s="38"/>
      <c r="F20" s="39"/>
      <c r="G20" s="59" t="s">
        <v>95</v>
      </c>
      <c r="H20" s="60"/>
      <c r="I20" s="60">
        <f>SUM(I4:I19)</f>
        <v>0</v>
      </c>
      <c r="J20" s="60">
        <f>SUM(J4:J19)</f>
        <v>0</v>
      </c>
      <c r="K20" s="60">
        <f>SUM(K4:K19)</f>
        <v>0</v>
      </c>
      <c r="L20" s="60">
        <f>SUM(L4:L19)</f>
        <v>0</v>
      </c>
      <c r="M20" s="60"/>
      <c r="N20" s="60"/>
      <c r="O20" s="60"/>
      <c r="P20" s="60"/>
      <c r="Q20" s="60"/>
      <c r="R20" s="60"/>
      <c r="S20" s="60">
        <f t="shared" ref="S20:AJ20" si="2">SUM(S4:S19)</f>
        <v>0</v>
      </c>
      <c r="T20" s="60">
        <f t="shared" si="2"/>
        <v>0</v>
      </c>
      <c r="U20" s="60">
        <f t="shared" si="2"/>
        <v>0</v>
      </c>
      <c r="V20" s="60">
        <f t="shared" si="2"/>
        <v>0</v>
      </c>
      <c r="W20" s="60">
        <f t="shared" si="2"/>
        <v>0</v>
      </c>
      <c r="X20" s="60">
        <f t="shared" si="2"/>
        <v>0</v>
      </c>
      <c r="Y20" s="60">
        <f t="shared" si="2"/>
        <v>0</v>
      </c>
      <c r="Z20" s="60">
        <f t="shared" si="2"/>
        <v>0</v>
      </c>
      <c r="AA20" s="60">
        <f t="shared" si="2"/>
        <v>6000</v>
      </c>
      <c r="AB20" s="60">
        <f t="shared" si="2"/>
        <v>0</v>
      </c>
      <c r="AC20" s="60">
        <f t="shared" si="2"/>
        <v>0</v>
      </c>
      <c r="AD20" s="60">
        <f t="shared" si="2"/>
        <v>0</v>
      </c>
      <c r="AE20" s="60">
        <f t="shared" si="2"/>
        <v>0</v>
      </c>
      <c r="AF20" s="60">
        <f t="shared" si="2"/>
        <v>0</v>
      </c>
      <c r="AG20" s="60">
        <f t="shared" si="2"/>
        <v>0</v>
      </c>
      <c r="AH20" s="60">
        <f t="shared" si="2"/>
        <v>0</v>
      </c>
      <c r="AI20" s="60">
        <f t="shared" si="2"/>
        <v>0</v>
      </c>
      <c r="AJ20" s="60">
        <f t="shared" si="2"/>
        <v>0</v>
      </c>
      <c r="AK20" s="99">
        <f>SUM(AK5:AK19)</f>
        <v>6000</v>
      </c>
    </row>
    <row r="21" spans="1:37" x14ac:dyDescent="0.2">
      <c r="E21" s="22"/>
      <c r="L21" s="18"/>
      <c r="N21" s="19"/>
      <c r="P21" s="19"/>
      <c r="Q21" s="19"/>
      <c r="R21" s="19"/>
      <c r="S21" s="19"/>
      <c r="T21" s="19"/>
      <c r="Y21" s="18"/>
    </row>
    <row r="22" spans="1:37" ht="17" thickBot="1" x14ac:dyDescent="0.25">
      <c r="E22" s="13"/>
      <c r="F22" s="45" t="s">
        <v>54</v>
      </c>
      <c r="G22" s="45" t="s">
        <v>55</v>
      </c>
      <c r="H22" s="45" t="s">
        <v>56</v>
      </c>
      <c r="I22" s="45" t="s">
        <v>57</v>
      </c>
      <c r="J22" s="45" t="s">
        <v>58</v>
      </c>
      <c r="K22" s="45" t="s">
        <v>59</v>
      </c>
      <c r="L22" s="18"/>
      <c r="N22" s="19"/>
      <c r="P22" s="19"/>
      <c r="Q22" s="19"/>
      <c r="R22" s="19"/>
      <c r="S22" s="19"/>
      <c r="T22" s="19"/>
      <c r="Y22" s="18"/>
    </row>
    <row r="23" spans="1:37" ht="15.5" customHeight="1" x14ac:dyDescent="0.2">
      <c r="D23" s="124" t="s">
        <v>44</v>
      </c>
      <c r="E23" s="25" t="s">
        <v>45</v>
      </c>
      <c r="F23" s="26"/>
      <c r="G23" s="26"/>
      <c r="H23" s="26"/>
      <c r="I23" s="26"/>
      <c r="J23" s="26"/>
      <c r="K23" s="27"/>
      <c r="L23" s="18"/>
      <c r="N23" s="19"/>
      <c r="P23" s="19"/>
      <c r="Q23" s="19"/>
      <c r="R23" s="19"/>
      <c r="S23" s="19"/>
      <c r="T23" s="19"/>
      <c r="Y23" s="18"/>
    </row>
    <row r="24" spans="1:37" x14ac:dyDescent="0.2">
      <c r="D24" s="124"/>
      <c r="E24" s="6" t="s">
        <v>46</v>
      </c>
      <c r="F24" s="17">
        <f>SUM(I5:I8)</f>
        <v>0</v>
      </c>
      <c r="G24" s="17">
        <f>SUM(I9:I12)</f>
        <v>0</v>
      </c>
      <c r="H24" s="17">
        <f>SUM(I13:I16)</f>
        <v>0</v>
      </c>
      <c r="I24" s="17">
        <f>SUM(I19:I19)</f>
        <v>0</v>
      </c>
      <c r="J24" s="17"/>
      <c r="K24" s="28"/>
      <c r="L24" s="18">
        <f>SUM(F24:K24)</f>
        <v>0</v>
      </c>
      <c r="N24" s="19"/>
      <c r="P24" s="19"/>
      <c r="Q24" s="19"/>
      <c r="R24" s="19"/>
      <c r="S24" s="19"/>
      <c r="T24" s="19"/>
      <c r="Y24" s="18"/>
    </row>
    <row r="25" spans="1:37" x14ac:dyDescent="0.2">
      <c r="D25" s="124"/>
      <c r="E25" s="6" t="s">
        <v>47</v>
      </c>
      <c r="F25" s="17">
        <f>SUM(J5:L8)</f>
        <v>0</v>
      </c>
      <c r="G25" s="17">
        <f>SUM(J9:L12)</f>
        <v>0</v>
      </c>
      <c r="H25" s="17">
        <f>SUM(J13:L16)</f>
        <v>0</v>
      </c>
      <c r="I25" s="17">
        <f>SUM(J19:L19)</f>
        <v>0</v>
      </c>
      <c r="J25" s="17"/>
      <c r="K25" s="28"/>
      <c r="L25" s="18">
        <f>SUM(F25:K25)</f>
        <v>0</v>
      </c>
      <c r="N25" s="19"/>
      <c r="P25" s="19"/>
      <c r="Q25" s="19"/>
      <c r="R25" s="19"/>
      <c r="S25" s="19"/>
      <c r="T25" s="19"/>
      <c r="Y25" s="18"/>
    </row>
    <row r="26" spans="1:37" x14ac:dyDescent="0.2">
      <c r="D26" s="124"/>
      <c r="E26" s="4" t="s">
        <v>18</v>
      </c>
      <c r="F26" s="17"/>
      <c r="G26" s="17"/>
      <c r="H26" s="17"/>
      <c r="I26" s="17"/>
      <c r="J26" s="17"/>
      <c r="K26" s="28"/>
      <c r="L26" s="18"/>
      <c r="N26" s="19"/>
      <c r="P26" s="19"/>
      <c r="Q26" s="19"/>
      <c r="R26" s="19"/>
      <c r="S26" s="19"/>
      <c r="T26" s="19"/>
      <c r="Y26" s="18"/>
    </row>
    <row r="27" spans="1:37" x14ac:dyDescent="0.2">
      <c r="D27" s="124"/>
      <c r="E27" s="6" t="s">
        <v>52</v>
      </c>
      <c r="F27" s="17">
        <f>SUM(T5:T8)</f>
        <v>0</v>
      </c>
      <c r="G27" s="17">
        <f>SUM(T9:T12)</f>
        <v>0</v>
      </c>
      <c r="H27" s="17">
        <f>SUM(T13:T16)</f>
        <v>0</v>
      </c>
      <c r="I27" s="17">
        <f>SUM(T19:T19)</f>
        <v>0</v>
      </c>
      <c r="J27" s="17"/>
      <c r="K27" s="28"/>
      <c r="L27" s="18">
        <f t="shared" ref="L27:L45" si="3">SUM(F27:K27)</f>
        <v>0</v>
      </c>
      <c r="Y27" s="18"/>
      <c r="AA27" s="18"/>
      <c r="AB27" s="18"/>
      <c r="AC27" s="18"/>
      <c r="AD27" s="18"/>
      <c r="AE27" s="18"/>
      <c r="AF27" s="18"/>
    </row>
    <row r="28" spans="1:37" x14ac:dyDescent="0.2">
      <c r="D28" s="124"/>
      <c r="E28" s="6" t="s">
        <v>17</v>
      </c>
      <c r="F28" s="17"/>
      <c r="G28" s="17"/>
      <c r="H28" s="17"/>
      <c r="I28" s="17"/>
      <c r="J28" s="17"/>
      <c r="K28" s="28"/>
      <c r="L28" s="18">
        <f t="shared" si="3"/>
        <v>0</v>
      </c>
      <c r="Y28" s="18"/>
      <c r="AA28" s="18"/>
      <c r="AB28" s="18"/>
      <c r="AC28" s="18"/>
      <c r="AD28" s="18"/>
      <c r="AE28" s="18"/>
      <c r="AF28" s="18"/>
    </row>
    <row r="29" spans="1:37" x14ac:dyDescent="0.2">
      <c r="D29" s="124"/>
      <c r="E29" s="4" t="s">
        <v>97</v>
      </c>
      <c r="F29" s="17">
        <f>SUM(AA5:AA8)</f>
        <v>3000</v>
      </c>
      <c r="G29" s="17">
        <f>SUM(AA9:AA12)</f>
        <v>0</v>
      </c>
      <c r="H29" s="17">
        <f>SUM(AA13:AA16)</f>
        <v>3000</v>
      </c>
      <c r="I29" s="17">
        <f>SUM(AA17:AA19)</f>
        <v>0</v>
      </c>
      <c r="J29" s="17"/>
      <c r="K29" s="28"/>
      <c r="L29" s="18">
        <f t="shared" si="3"/>
        <v>6000</v>
      </c>
      <c r="N29" s="19"/>
      <c r="Y29" s="18"/>
      <c r="AA29" s="18"/>
      <c r="AB29" s="18"/>
      <c r="AC29" s="18"/>
      <c r="AD29" s="18"/>
      <c r="AE29" s="18"/>
      <c r="AF29" s="18"/>
    </row>
    <row r="30" spans="1:37" x14ac:dyDescent="0.2">
      <c r="D30" s="124"/>
      <c r="E30" s="47" t="s">
        <v>101</v>
      </c>
      <c r="F30" s="17">
        <f>SUM(V5:V8)</f>
        <v>0</v>
      </c>
      <c r="G30" s="17">
        <f>SUM(V9:V12)</f>
        <v>0</v>
      </c>
      <c r="H30" s="17">
        <f>SUM(V13:V16)</f>
        <v>0</v>
      </c>
      <c r="I30" s="17">
        <f>SUM(V19:V19)</f>
        <v>0</v>
      </c>
      <c r="J30" s="17"/>
      <c r="K30" s="28"/>
      <c r="L30" s="18">
        <f t="shared" si="3"/>
        <v>0</v>
      </c>
      <c r="N30" s="19"/>
      <c r="Y30" s="18"/>
      <c r="AA30" s="18"/>
      <c r="AB30" s="18"/>
      <c r="AC30" s="18"/>
      <c r="AD30" s="18"/>
      <c r="AE30" s="18"/>
      <c r="AF30" s="18"/>
    </row>
    <row r="31" spans="1:37" x14ac:dyDescent="0.2">
      <c r="D31" s="124"/>
      <c r="E31" s="4" t="s">
        <v>20</v>
      </c>
      <c r="F31" s="17"/>
      <c r="G31" s="17"/>
      <c r="H31" s="17"/>
      <c r="I31" s="17"/>
      <c r="J31" s="17"/>
      <c r="K31" s="28"/>
      <c r="L31" s="18">
        <f t="shared" si="3"/>
        <v>0</v>
      </c>
    </row>
    <row r="32" spans="1:37" s="7" customFormat="1" ht="17" thickBot="1" x14ac:dyDescent="0.25">
      <c r="A32" s="21"/>
      <c r="B32" s="21"/>
      <c r="C32" s="21"/>
      <c r="D32" s="125"/>
      <c r="E32" s="29" t="s">
        <v>21</v>
      </c>
      <c r="F32" s="30"/>
      <c r="G32" s="30"/>
      <c r="H32" s="30"/>
      <c r="I32" s="30"/>
      <c r="J32" s="30"/>
      <c r="K32" s="31"/>
      <c r="L32" s="18">
        <f t="shared" si="3"/>
        <v>0</v>
      </c>
      <c r="N32" s="19"/>
      <c r="AK32" s="21"/>
    </row>
    <row r="33" spans="1:37" s="7" customFormat="1" x14ac:dyDescent="0.2">
      <c r="A33" s="21"/>
      <c r="B33" s="21"/>
      <c r="C33" s="21"/>
      <c r="D33" s="126" t="s">
        <v>87</v>
      </c>
      <c r="E33" s="46" t="s">
        <v>45</v>
      </c>
      <c r="F33" s="61">
        <f>SUM(Y5:Y8)</f>
        <v>0</v>
      </c>
      <c r="G33" s="61">
        <f>SUM(Y9:Y12)</f>
        <v>0</v>
      </c>
      <c r="H33" s="61">
        <f>SUM(Y13:Y16)</f>
        <v>0</v>
      </c>
      <c r="I33" s="61">
        <f>SUM(Y19:Y19)</f>
        <v>0</v>
      </c>
      <c r="J33" s="61"/>
      <c r="K33" s="62"/>
      <c r="L33" s="18">
        <f t="shared" si="3"/>
        <v>0</v>
      </c>
      <c r="AK33" s="21"/>
    </row>
    <row r="34" spans="1:37" s="7" customFormat="1" x14ac:dyDescent="0.2">
      <c r="A34" s="21"/>
      <c r="B34" s="21"/>
      <c r="C34" s="21"/>
      <c r="D34" s="126"/>
      <c r="E34" s="47" t="s">
        <v>27</v>
      </c>
      <c r="F34" s="17"/>
      <c r="G34" s="17"/>
      <c r="H34" s="17"/>
      <c r="I34" s="17"/>
      <c r="J34" s="17"/>
      <c r="K34" s="28"/>
      <c r="L34" s="18">
        <f t="shared" si="3"/>
        <v>0</v>
      </c>
      <c r="AK34" s="21"/>
    </row>
    <row r="35" spans="1:37" s="7" customFormat="1" ht="17" x14ac:dyDescent="0.2">
      <c r="A35" s="21"/>
      <c r="B35" s="21"/>
      <c r="C35" s="21"/>
      <c r="D35" s="126"/>
      <c r="E35" s="48" t="s">
        <v>5</v>
      </c>
      <c r="F35" s="106">
        <f>SUM((AA5:AA8))</f>
        <v>3000</v>
      </c>
      <c r="G35" s="17">
        <f>SUM(AA9:AA12)</f>
        <v>0</v>
      </c>
      <c r="H35" s="17">
        <f>SUM(AA13:AA16)</f>
        <v>3000</v>
      </c>
      <c r="I35" s="17">
        <f>SUM(AA17:AA19)</f>
        <v>0</v>
      </c>
      <c r="J35" s="8"/>
      <c r="K35" s="63"/>
      <c r="L35" s="18">
        <f t="shared" si="3"/>
        <v>6000</v>
      </c>
      <c r="AK35" s="21"/>
    </row>
    <row r="36" spans="1:37" s="7" customFormat="1" ht="17" x14ac:dyDescent="0.2">
      <c r="A36" s="21"/>
      <c r="B36" s="21"/>
      <c r="C36" s="21"/>
      <c r="D36" s="126"/>
      <c r="E36" s="48" t="s">
        <v>93</v>
      </c>
      <c r="F36" s="23"/>
      <c r="G36" s="8"/>
      <c r="H36" s="8"/>
      <c r="I36" s="8"/>
      <c r="J36" s="8"/>
      <c r="K36" s="63"/>
      <c r="L36" s="18">
        <f t="shared" si="3"/>
        <v>0</v>
      </c>
      <c r="AK36" s="21"/>
    </row>
    <row r="37" spans="1:37" s="7" customFormat="1" ht="17" x14ac:dyDescent="0.2">
      <c r="A37" s="21"/>
      <c r="B37" s="21"/>
      <c r="C37" s="21"/>
      <c r="D37" s="126"/>
      <c r="E37" s="48" t="s">
        <v>92</v>
      </c>
      <c r="F37" s="23"/>
      <c r="G37" s="8"/>
      <c r="H37" s="8"/>
      <c r="I37" s="8"/>
      <c r="J37" s="8"/>
      <c r="K37" s="63"/>
      <c r="L37" s="18">
        <f t="shared" si="3"/>
        <v>0</v>
      </c>
      <c r="AK37" s="21"/>
    </row>
    <row r="38" spans="1:37" s="7" customFormat="1" ht="17" x14ac:dyDescent="0.2">
      <c r="A38" s="21"/>
      <c r="B38" s="21"/>
      <c r="C38" s="21"/>
      <c r="D38" s="126"/>
      <c r="E38" s="48" t="s">
        <v>91</v>
      </c>
      <c r="F38" s="23"/>
      <c r="G38" s="8"/>
      <c r="H38" s="8"/>
      <c r="I38" s="8"/>
      <c r="J38" s="8"/>
      <c r="K38" s="63"/>
      <c r="L38" s="18">
        <f t="shared" si="3"/>
        <v>0</v>
      </c>
      <c r="AK38" s="21"/>
    </row>
    <row r="39" spans="1:37" s="7" customFormat="1" ht="17" x14ac:dyDescent="0.2">
      <c r="A39" s="21"/>
      <c r="B39" s="21"/>
      <c r="C39" s="21"/>
      <c r="D39" s="126"/>
      <c r="E39" s="48" t="s">
        <v>25</v>
      </c>
      <c r="F39" s="95">
        <f>SUM(AE5:AE8)</f>
        <v>0</v>
      </c>
      <c r="G39" s="17">
        <f>SUM(AE9:AE12)</f>
        <v>0</v>
      </c>
      <c r="H39" s="96">
        <f>SUM(AE13:AE16)</f>
        <v>0</v>
      </c>
      <c r="I39" s="96">
        <f>SUM(AE19:AE19)</f>
        <v>0</v>
      </c>
      <c r="J39" s="8"/>
      <c r="K39" s="63"/>
      <c r="L39" s="18">
        <f t="shared" si="3"/>
        <v>0</v>
      </c>
      <c r="AK39" s="21"/>
    </row>
    <row r="40" spans="1:37" s="7" customFormat="1" ht="17" x14ac:dyDescent="0.2">
      <c r="A40" s="21"/>
      <c r="B40" s="21"/>
      <c r="C40" s="21"/>
      <c r="D40" s="126"/>
      <c r="E40" s="48" t="s">
        <v>90</v>
      </c>
      <c r="F40" s="23"/>
      <c r="G40" s="8"/>
      <c r="H40" s="8"/>
      <c r="I40" s="8"/>
      <c r="J40" s="8"/>
      <c r="K40" s="63"/>
      <c r="L40" s="18">
        <f t="shared" si="3"/>
        <v>0</v>
      </c>
      <c r="AK40" s="21"/>
    </row>
    <row r="41" spans="1:37" s="7" customFormat="1" ht="17" x14ac:dyDescent="0.2">
      <c r="A41" s="21"/>
      <c r="B41" s="21"/>
      <c r="C41" s="21"/>
      <c r="D41" s="126"/>
      <c r="E41" s="48" t="s">
        <v>89</v>
      </c>
      <c r="F41" s="23"/>
      <c r="G41" s="8"/>
      <c r="H41" s="8"/>
      <c r="I41" s="8"/>
      <c r="J41" s="8"/>
      <c r="K41" s="63"/>
      <c r="L41" s="18">
        <f t="shared" si="3"/>
        <v>0</v>
      </c>
      <c r="AK41" s="21"/>
    </row>
    <row r="42" spans="1:37" s="7" customFormat="1" ht="17" x14ac:dyDescent="0.2">
      <c r="A42" s="21"/>
      <c r="B42" s="21"/>
      <c r="C42" s="21"/>
      <c r="D42" s="126"/>
      <c r="E42" s="48" t="s">
        <v>23</v>
      </c>
      <c r="F42" s="23"/>
      <c r="G42" s="8"/>
      <c r="H42" s="8"/>
      <c r="I42" s="8"/>
      <c r="J42" s="8"/>
      <c r="K42" s="63"/>
      <c r="L42" s="18">
        <f t="shared" si="3"/>
        <v>0</v>
      </c>
      <c r="AK42" s="21"/>
    </row>
    <row r="43" spans="1:37" s="7" customFormat="1" ht="17" x14ac:dyDescent="0.2">
      <c r="A43" s="21"/>
      <c r="B43" s="21"/>
      <c r="C43" s="21"/>
      <c r="D43" s="126"/>
      <c r="E43" s="48" t="s">
        <v>24</v>
      </c>
      <c r="F43" s="95">
        <f>SUM(AI5:AI8)</f>
        <v>0</v>
      </c>
      <c r="G43" s="17">
        <f>SUM(AI9:AI12)</f>
        <v>0</v>
      </c>
      <c r="H43" s="17">
        <f>SUM(AI13:AI16)</f>
        <v>0</v>
      </c>
      <c r="I43" s="17">
        <f>SUM(AI19:AI19)</f>
        <v>0</v>
      </c>
      <c r="J43" s="8"/>
      <c r="K43" s="63"/>
      <c r="L43" s="18">
        <f t="shared" si="3"/>
        <v>0</v>
      </c>
      <c r="AK43" s="21"/>
    </row>
    <row r="44" spans="1:37" s="7" customFormat="1" ht="18" thickBot="1" x14ac:dyDescent="0.25">
      <c r="A44" s="21"/>
      <c r="B44" s="21"/>
      <c r="C44" s="21"/>
      <c r="D44" s="126"/>
      <c r="E44" s="49" t="s">
        <v>88</v>
      </c>
      <c r="F44" s="97">
        <f>SUM(AJ5:AJ8)</f>
        <v>0</v>
      </c>
      <c r="G44" s="30">
        <f>SUM(AJ9:AJ12)</f>
        <v>0</v>
      </c>
      <c r="H44" s="30">
        <f>SUM(AJ13:AJ16)</f>
        <v>0</v>
      </c>
      <c r="I44" s="30">
        <f>SUM(AJ19:AJ19)</f>
        <v>0</v>
      </c>
      <c r="J44" s="64"/>
      <c r="K44" s="65"/>
      <c r="L44" s="18">
        <f t="shared" si="3"/>
        <v>0</v>
      </c>
      <c r="AK44" s="21"/>
    </row>
    <row r="45" spans="1:37" s="7" customFormat="1" x14ac:dyDescent="0.2">
      <c r="A45" s="21"/>
      <c r="B45" s="21"/>
      <c r="C45" s="21"/>
      <c r="D45" s="21"/>
      <c r="E45" s="68" t="s">
        <v>98</v>
      </c>
      <c r="F45" s="69">
        <f t="shared" ref="F45:K45" si="4">SUM(F23:F44)</f>
        <v>6000</v>
      </c>
      <c r="G45" s="69">
        <f t="shared" si="4"/>
        <v>0</v>
      </c>
      <c r="H45" s="69">
        <f t="shared" si="4"/>
        <v>6000</v>
      </c>
      <c r="I45" s="69">
        <f t="shared" si="4"/>
        <v>0</v>
      </c>
      <c r="J45" s="69">
        <f t="shared" si="4"/>
        <v>0</v>
      </c>
      <c r="K45" s="69">
        <f t="shared" si="4"/>
        <v>0</v>
      </c>
      <c r="L45" s="18">
        <f t="shared" si="3"/>
        <v>12000</v>
      </c>
      <c r="AK45" s="21"/>
    </row>
  </sheetData>
  <mergeCells count="17">
    <mergeCell ref="H2:X2"/>
    <mergeCell ref="Y2:AJ2"/>
    <mergeCell ref="C3:C4"/>
    <mergeCell ref="D3:D4"/>
    <mergeCell ref="E3:E4"/>
    <mergeCell ref="F3:F4"/>
    <mergeCell ref="G3:G4"/>
    <mergeCell ref="H3:L3"/>
    <mergeCell ref="M3:T3"/>
    <mergeCell ref="U3:X3"/>
    <mergeCell ref="D23:D32"/>
    <mergeCell ref="D33:D44"/>
    <mergeCell ref="AB3:AJ3"/>
    <mergeCell ref="B5:B8"/>
    <mergeCell ref="B9:B12"/>
    <mergeCell ref="B13:B16"/>
    <mergeCell ref="B17:B19"/>
  </mergeCells>
  <pageMargins left="0.7" right="0.7" top="0.75" bottom="0.75" header="0.3" footer="0.3"/>
  <drawing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07968-F70F-4D14-B76B-FC478F8566B6}">
  <sheetPr>
    <tabColor theme="7" tint="0.59999389629810485"/>
  </sheetPr>
  <dimension ref="A2:AK45"/>
  <sheetViews>
    <sheetView showGridLines="0" topLeftCell="A12" zoomScale="80" zoomScaleNormal="80" workbookViewId="0">
      <selection activeCell="AL12" sqref="AL12:AL13"/>
    </sheetView>
  </sheetViews>
  <sheetFormatPr baseColWidth="10" defaultColWidth="13.83203125" defaultRowHeight="16" x14ac:dyDescent="0.2"/>
  <cols>
    <col min="1" max="1" width="3.6640625" style="21" customWidth="1"/>
    <col min="2" max="4" width="13.83203125" style="21"/>
    <col min="5" max="5" width="33.83203125" style="21" customWidth="1"/>
    <col min="6" max="6" width="13.83203125" style="21"/>
    <col min="7" max="7" width="17.6640625" style="7" bestFit="1" customWidth="1"/>
    <col min="8" max="8" width="14" style="7" customWidth="1"/>
    <col min="9" max="9" width="16.33203125" style="7" customWidth="1"/>
    <col min="10" max="11" width="14.33203125" style="7" customWidth="1"/>
    <col min="12" max="12" width="16" style="7" customWidth="1"/>
    <col min="13" max="13" width="12.6640625" style="7" customWidth="1"/>
    <col min="14" max="18" width="14.33203125" style="7" customWidth="1"/>
    <col min="19" max="19" width="15.6640625" style="7" customWidth="1"/>
    <col min="20" max="20" width="14.33203125" style="7" customWidth="1"/>
    <col min="21" max="23" width="11.5" style="7" customWidth="1"/>
    <col min="24" max="24" width="13.83203125" style="7" customWidth="1"/>
    <col min="25" max="25" width="17.1640625" style="7" customWidth="1"/>
    <col min="26" max="26" width="12.33203125" style="7" customWidth="1"/>
    <col min="27" max="27" width="14.5" style="7" bestFit="1" customWidth="1"/>
    <col min="28" max="36" width="14.5" style="7" customWidth="1"/>
    <col min="37" max="37" width="13.83203125" style="21"/>
    <col min="38" max="38" width="10.1640625" style="21" customWidth="1"/>
    <col min="39" max="16384" width="13.83203125" style="21"/>
  </cols>
  <sheetData>
    <row r="2" spans="2:37" ht="24" x14ac:dyDescent="0.3">
      <c r="C2" s="11"/>
      <c r="D2" s="11"/>
      <c r="E2" s="7"/>
      <c r="F2" s="7"/>
      <c r="H2" s="129" t="s">
        <v>50</v>
      </c>
      <c r="I2" s="129"/>
      <c r="J2" s="129"/>
      <c r="K2" s="129"/>
      <c r="L2" s="129"/>
      <c r="M2" s="129"/>
      <c r="N2" s="129"/>
      <c r="O2" s="129"/>
      <c r="P2" s="129"/>
      <c r="Q2" s="129"/>
      <c r="R2" s="129"/>
      <c r="S2" s="129"/>
      <c r="T2" s="129"/>
      <c r="U2" s="129"/>
      <c r="V2" s="129"/>
      <c r="W2" s="129"/>
      <c r="X2" s="129"/>
      <c r="Y2" s="130"/>
      <c r="Z2" s="130"/>
      <c r="AA2" s="130"/>
      <c r="AB2" s="130"/>
      <c r="AC2" s="130"/>
      <c r="AD2" s="130"/>
      <c r="AE2" s="130"/>
      <c r="AF2" s="130"/>
      <c r="AG2" s="130"/>
      <c r="AH2" s="130"/>
      <c r="AI2" s="130"/>
      <c r="AJ2" s="130"/>
    </row>
    <row r="3" spans="2:37" ht="21" x14ac:dyDescent="0.25">
      <c r="C3" s="131" t="s">
        <v>53</v>
      </c>
      <c r="D3" s="133" t="s">
        <v>48</v>
      </c>
      <c r="E3" s="135" t="s">
        <v>2</v>
      </c>
      <c r="F3" s="135" t="s">
        <v>3</v>
      </c>
      <c r="G3" s="137" t="s">
        <v>4</v>
      </c>
      <c r="H3" s="139" t="s">
        <v>60</v>
      </c>
      <c r="I3" s="140"/>
      <c r="J3" s="140"/>
      <c r="K3" s="140"/>
      <c r="L3" s="141"/>
      <c r="M3" s="139" t="s">
        <v>1</v>
      </c>
      <c r="N3" s="140"/>
      <c r="O3" s="140"/>
      <c r="P3" s="140"/>
      <c r="Q3" s="140"/>
      <c r="R3" s="140"/>
      <c r="S3" s="140"/>
      <c r="T3" s="141"/>
      <c r="U3" s="139" t="s">
        <v>85</v>
      </c>
      <c r="V3" s="140"/>
      <c r="W3" s="140"/>
      <c r="X3" s="141"/>
      <c r="Y3" s="44" t="s">
        <v>0</v>
      </c>
      <c r="Z3" s="44" t="s">
        <v>83</v>
      </c>
      <c r="AA3" s="44" t="s">
        <v>86</v>
      </c>
      <c r="AB3" s="127"/>
      <c r="AC3" s="127"/>
      <c r="AD3" s="127"/>
      <c r="AE3" s="127"/>
      <c r="AF3" s="127"/>
      <c r="AG3" s="127"/>
      <c r="AH3" s="127"/>
      <c r="AI3" s="127"/>
      <c r="AJ3" s="127"/>
    </row>
    <row r="4" spans="2:37" ht="64" x14ac:dyDescent="0.2">
      <c r="C4" s="132"/>
      <c r="D4" s="134"/>
      <c r="E4" s="136"/>
      <c r="F4" s="136"/>
      <c r="G4" s="138"/>
      <c r="H4" s="67" t="s">
        <v>99</v>
      </c>
      <c r="I4" s="43" t="s">
        <v>52</v>
      </c>
      <c r="J4" s="43" t="s">
        <v>61</v>
      </c>
      <c r="K4" s="43" t="s">
        <v>62</v>
      </c>
      <c r="L4" s="43" t="s">
        <v>63</v>
      </c>
      <c r="M4" s="67" t="s">
        <v>11</v>
      </c>
      <c r="N4" s="67" t="s">
        <v>12</v>
      </c>
      <c r="O4" s="67" t="s">
        <v>13</v>
      </c>
      <c r="P4" s="67" t="s">
        <v>14</v>
      </c>
      <c r="Q4" s="67" t="s">
        <v>15</v>
      </c>
      <c r="R4" s="67" t="s">
        <v>16</v>
      </c>
      <c r="S4" s="43" t="s">
        <v>17</v>
      </c>
      <c r="T4" s="43" t="s">
        <v>18</v>
      </c>
      <c r="U4" s="43" t="s">
        <v>19</v>
      </c>
      <c r="V4" s="43" t="s">
        <v>100</v>
      </c>
      <c r="W4" s="43" t="s">
        <v>20</v>
      </c>
      <c r="X4" s="43" t="s">
        <v>21</v>
      </c>
      <c r="Y4" s="43" t="s">
        <v>10</v>
      </c>
      <c r="Z4" s="43" t="s">
        <v>27</v>
      </c>
      <c r="AA4" s="43" t="s">
        <v>5</v>
      </c>
      <c r="AB4" s="43" t="s">
        <v>6</v>
      </c>
      <c r="AC4" s="43" t="s">
        <v>7</v>
      </c>
      <c r="AD4" s="43" t="s">
        <v>8</v>
      </c>
      <c r="AE4" s="43" t="s">
        <v>25</v>
      </c>
      <c r="AF4" s="43" t="s">
        <v>9</v>
      </c>
      <c r="AG4" s="43" t="s">
        <v>22</v>
      </c>
      <c r="AH4" s="43" t="s">
        <v>23</v>
      </c>
      <c r="AI4" s="43" t="s">
        <v>24</v>
      </c>
      <c r="AJ4" s="43" t="s">
        <v>26</v>
      </c>
      <c r="AK4" s="101" t="s">
        <v>96</v>
      </c>
    </row>
    <row r="5" spans="2:37" x14ac:dyDescent="0.2">
      <c r="B5" s="128" t="s">
        <v>64</v>
      </c>
      <c r="C5" s="51" t="s">
        <v>82</v>
      </c>
      <c r="D5" s="77">
        <v>1</v>
      </c>
      <c r="E5" s="78" t="s">
        <v>40</v>
      </c>
      <c r="F5" s="70" t="s">
        <v>30</v>
      </c>
      <c r="G5" s="55"/>
      <c r="H5" s="55"/>
      <c r="I5" s="55"/>
      <c r="J5" s="55"/>
      <c r="K5" s="86"/>
      <c r="L5" s="55"/>
      <c r="M5" s="55"/>
      <c r="N5" s="55"/>
      <c r="O5" s="55"/>
      <c r="P5" s="55"/>
      <c r="Q5" s="55"/>
      <c r="R5" s="55"/>
      <c r="S5" s="89"/>
      <c r="T5" s="55"/>
      <c r="U5" s="55"/>
      <c r="V5" s="55"/>
      <c r="W5" s="55"/>
      <c r="X5" s="55"/>
      <c r="Y5" s="86">
        <v>0</v>
      </c>
      <c r="Z5" s="55"/>
      <c r="AA5" s="86">
        <v>0</v>
      </c>
      <c r="AB5" s="55"/>
      <c r="AC5" s="55"/>
      <c r="AD5" s="55"/>
      <c r="AE5" s="86">
        <v>0</v>
      </c>
      <c r="AF5" s="55"/>
      <c r="AG5" s="55"/>
      <c r="AH5" s="55"/>
      <c r="AI5" s="86">
        <v>0</v>
      </c>
      <c r="AJ5" s="41">
        <v>0</v>
      </c>
      <c r="AK5" s="100">
        <f t="shared" ref="AK5:AK16" si="0">SUM(S5:AJ5)+SUM(I5:L5)</f>
        <v>0</v>
      </c>
    </row>
    <row r="6" spans="2:37" x14ac:dyDescent="0.2">
      <c r="B6" s="128"/>
      <c r="C6" s="34" t="s">
        <v>68</v>
      </c>
      <c r="D6" s="72">
        <v>2</v>
      </c>
      <c r="E6" s="73" t="s">
        <v>118</v>
      </c>
      <c r="F6" s="74" t="s">
        <v>29</v>
      </c>
      <c r="G6" s="33"/>
      <c r="H6" s="17"/>
      <c r="I6" s="17">
        <f>I5*G6</f>
        <v>0</v>
      </c>
      <c r="J6" s="17"/>
      <c r="K6" s="90">
        <v>0</v>
      </c>
      <c r="L6" s="17"/>
      <c r="M6" s="33"/>
      <c r="N6" s="33"/>
      <c r="O6" s="24"/>
      <c r="P6" s="24"/>
      <c r="Q6" s="24"/>
      <c r="R6" s="17">
        <f>O6*0.045</f>
        <v>0</v>
      </c>
      <c r="S6" s="20"/>
      <c r="T6" s="90">
        <f t="shared" ref="T6:T16" si="1">SUM(O6:R6)*M6*N6</f>
        <v>0</v>
      </c>
      <c r="U6" s="17"/>
      <c r="V6" s="24">
        <v>0</v>
      </c>
      <c r="W6" s="17"/>
      <c r="X6" s="17"/>
      <c r="Y6" s="90"/>
      <c r="Z6" s="17"/>
      <c r="AA6" s="90">
        <v>0</v>
      </c>
      <c r="AB6" s="10"/>
      <c r="AC6" s="10"/>
      <c r="AD6" s="10"/>
      <c r="AE6" s="10"/>
      <c r="AF6" s="10"/>
      <c r="AG6" s="17"/>
      <c r="AH6" s="17"/>
      <c r="AI6" s="17"/>
      <c r="AJ6" s="17"/>
      <c r="AK6" s="100">
        <f t="shared" si="0"/>
        <v>0</v>
      </c>
    </row>
    <row r="7" spans="2:37" x14ac:dyDescent="0.2">
      <c r="B7" s="128"/>
      <c r="C7" s="15" t="s">
        <v>69</v>
      </c>
      <c r="D7" s="75">
        <v>3</v>
      </c>
      <c r="E7" s="73" t="s">
        <v>117</v>
      </c>
      <c r="F7" s="74" t="s">
        <v>29</v>
      </c>
      <c r="G7" s="33"/>
      <c r="H7" s="17"/>
      <c r="I7" s="17">
        <f>I6*G7</f>
        <v>0</v>
      </c>
      <c r="J7" s="17"/>
      <c r="K7" s="90">
        <v>0</v>
      </c>
      <c r="L7" s="17"/>
      <c r="M7" s="33"/>
      <c r="N7" s="33"/>
      <c r="O7" s="24"/>
      <c r="P7" s="24"/>
      <c r="Q7" s="24"/>
      <c r="R7" s="17">
        <f>O7*0.045</f>
        <v>0</v>
      </c>
      <c r="S7" s="20"/>
      <c r="T7" s="90">
        <f t="shared" si="1"/>
        <v>0</v>
      </c>
      <c r="U7" s="17"/>
      <c r="V7" s="24">
        <v>0</v>
      </c>
      <c r="W7" s="17"/>
      <c r="X7" s="17"/>
      <c r="Y7" s="90"/>
      <c r="Z7" s="17"/>
      <c r="AA7" s="90">
        <v>0</v>
      </c>
      <c r="AB7" s="10"/>
      <c r="AC7" s="10"/>
      <c r="AD7" s="10"/>
      <c r="AE7" s="10"/>
      <c r="AF7" s="10"/>
      <c r="AG7" s="17"/>
      <c r="AH7" s="17"/>
      <c r="AI7" s="17"/>
      <c r="AJ7" s="17"/>
      <c r="AK7" s="100">
        <f t="shared" si="0"/>
        <v>0</v>
      </c>
    </row>
    <row r="8" spans="2:37" x14ac:dyDescent="0.2">
      <c r="B8" s="128"/>
      <c r="C8" s="55" t="s">
        <v>94</v>
      </c>
      <c r="D8" s="77">
        <v>4</v>
      </c>
      <c r="E8" s="79" t="s">
        <v>116</v>
      </c>
      <c r="F8" s="80" t="s">
        <v>30</v>
      </c>
      <c r="G8" s="55"/>
      <c r="H8" s="57"/>
      <c r="I8" s="57"/>
      <c r="J8" s="57"/>
      <c r="K8" s="86"/>
      <c r="L8" s="57"/>
      <c r="M8" s="55"/>
      <c r="N8" s="55"/>
      <c r="O8" s="57"/>
      <c r="P8" s="57"/>
      <c r="Q8" s="57"/>
      <c r="R8" s="57"/>
      <c r="S8" s="82"/>
      <c r="T8" s="57">
        <f t="shared" si="1"/>
        <v>0</v>
      </c>
      <c r="U8" s="57"/>
      <c r="V8" s="57"/>
      <c r="W8" s="57"/>
      <c r="X8" s="57"/>
      <c r="Y8" s="86"/>
      <c r="Z8" s="57"/>
      <c r="AA8" s="86">
        <v>3000</v>
      </c>
      <c r="AB8" s="58"/>
      <c r="AC8" s="58"/>
      <c r="AD8" s="58"/>
      <c r="AE8" s="86">
        <v>0</v>
      </c>
      <c r="AF8" s="58"/>
      <c r="AG8" s="57"/>
      <c r="AH8" s="57"/>
      <c r="AI8" s="86">
        <v>0</v>
      </c>
      <c r="AJ8" s="41">
        <v>0</v>
      </c>
      <c r="AK8" s="100">
        <f t="shared" si="0"/>
        <v>3000</v>
      </c>
    </row>
    <row r="9" spans="2:37" x14ac:dyDescent="0.2">
      <c r="B9" s="128" t="s">
        <v>65</v>
      </c>
      <c r="C9" s="51" t="s">
        <v>81</v>
      </c>
      <c r="D9" s="77">
        <v>5</v>
      </c>
      <c r="E9" s="79" t="s">
        <v>115</v>
      </c>
      <c r="F9" s="80" t="s">
        <v>30</v>
      </c>
      <c r="G9" s="55"/>
      <c r="H9" s="57"/>
      <c r="I9" s="57"/>
      <c r="J9" s="57"/>
      <c r="K9" s="86"/>
      <c r="L9" s="57"/>
      <c r="M9" s="55"/>
      <c r="N9" s="55"/>
      <c r="O9" s="57"/>
      <c r="P9" s="57"/>
      <c r="Q9" s="57"/>
      <c r="R9" s="57"/>
      <c r="S9" s="82"/>
      <c r="T9" s="57">
        <f t="shared" si="1"/>
        <v>0</v>
      </c>
      <c r="U9" s="57"/>
      <c r="V9" s="57"/>
      <c r="W9" s="57"/>
      <c r="X9" s="57"/>
      <c r="Y9" s="86"/>
      <c r="Z9" s="57"/>
      <c r="AA9" s="86">
        <v>0</v>
      </c>
      <c r="AB9" s="58"/>
      <c r="AC9" s="58"/>
      <c r="AD9" s="58"/>
      <c r="AE9" s="86">
        <v>0</v>
      </c>
      <c r="AF9" s="58"/>
      <c r="AG9" s="57"/>
      <c r="AH9" s="57"/>
      <c r="AI9" s="86">
        <v>0</v>
      </c>
      <c r="AJ9" s="41">
        <v>0</v>
      </c>
      <c r="AK9" s="100">
        <f t="shared" si="0"/>
        <v>0</v>
      </c>
    </row>
    <row r="10" spans="2:37" x14ac:dyDescent="0.2">
      <c r="B10" s="128"/>
      <c r="C10" s="15" t="s">
        <v>70</v>
      </c>
      <c r="D10" s="75">
        <v>6</v>
      </c>
      <c r="E10" s="73" t="s">
        <v>105</v>
      </c>
      <c r="F10" s="74" t="s">
        <v>29</v>
      </c>
      <c r="G10" s="33"/>
      <c r="H10" s="17"/>
      <c r="I10" s="17">
        <f>I9*G10</f>
        <v>0</v>
      </c>
      <c r="J10" s="17"/>
      <c r="K10" s="90">
        <v>0</v>
      </c>
      <c r="L10" s="17"/>
      <c r="M10" s="33"/>
      <c r="N10" s="33"/>
      <c r="O10" s="24"/>
      <c r="P10" s="24"/>
      <c r="Q10" s="24"/>
      <c r="R10" s="17">
        <f>O10*0.045</f>
        <v>0</v>
      </c>
      <c r="S10" s="20"/>
      <c r="T10" s="90">
        <f t="shared" si="1"/>
        <v>0</v>
      </c>
      <c r="U10" s="17"/>
      <c r="V10" s="24">
        <v>0</v>
      </c>
      <c r="W10" s="17"/>
      <c r="X10" s="17"/>
      <c r="Y10" s="90"/>
      <c r="Z10" s="17"/>
      <c r="AA10" s="90">
        <v>0</v>
      </c>
      <c r="AB10" s="10"/>
      <c r="AC10" s="10"/>
      <c r="AD10" s="10"/>
      <c r="AE10" s="10"/>
      <c r="AF10" s="10"/>
      <c r="AG10" s="17"/>
      <c r="AH10" s="17"/>
      <c r="AI10" s="17"/>
      <c r="AJ10" s="17"/>
      <c r="AK10" s="100">
        <f t="shared" si="0"/>
        <v>0</v>
      </c>
    </row>
    <row r="11" spans="2:37" x14ac:dyDescent="0.2">
      <c r="B11" s="128"/>
      <c r="C11" s="15" t="s">
        <v>71</v>
      </c>
      <c r="D11" s="75">
        <v>7</v>
      </c>
      <c r="E11" s="73" t="s">
        <v>114</v>
      </c>
      <c r="F11" s="74" t="s">
        <v>29</v>
      </c>
      <c r="G11" s="33"/>
      <c r="H11" s="17"/>
      <c r="I11" s="17">
        <f>I10*G11</f>
        <v>0</v>
      </c>
      <c r="J11" s="17"/>
      <c r="K11" s="90">
        <v>0</v>
      </c>
      <c r="L11" s="17"/>
      <c r="M11" s="33"/>
      <c r="N11" s="33"/>
      <c r="O11" s="24"/>
      <c r="P11" s="24"/>
      <c r="Q11" s="24"/>
      <c r="R11" s="17">
        <f>O11*0.045</f>
        <v>0</v>
      </c>
      <c r="S11" s="20"/>
      <c r="T11" s="90">
        <f t="shared" si="1"/>
        <v>0</v>
      </c>
      <c r="U11" s="17"/>
      <c r="V11" s="24">
        <v>0</v>
      </c>
      <c r="W11" s="17"/>
      <c r="X11" s="17"/>
      <c r="Y11" s="90"/>
      <c r="Z11" s="17"/>
      <c r="AA11" s="90">
        <v>0</v>
      </c>
      <c r="AB11" s="10"/>
      <c r="AC11" s="10"/>
      <c r="AD11" s="10"/>
      <c r="AE11" s="10"/>
      <c r="AF11" s="10"/>
      <c r="AG11" s="17"/>
      <c r="AH11" s="17"/>
      <c r="AI11" s="17"/>
      <c r="AJ11" s="17"/>
      <c r="AK11" s="100">
        <f t="shared" si="0"/>
        <v>0</v>
      </c>
    </row>
    <row r="12" spans="2:37" x14ac:dyDescent="0.2">
      <c r="B12" s="128"/>
      <c r="C12" s="51" t="s">
        <v>72</v>
      </c>
      <c r="D12" s="77">
        <v>8</v>
      </c>
      <c r="E12" s="79" t="s">
        <v>104</v>
      </c>
      <c r="F12" s="80" t="s">
        <v>30</v>
      </c>
      <c r="G12" s="55"/>
      <c r="H12" s="57"/>
      <c r="I12" s="57"/>
      <c r="J12" s="57"/>
      <c r="K12" s="86"/>
      <c r="L12" s="57"/>
      <c r="M12" s="55"/>
      <c r="N12" s="55"/>
      <c r="O12" s="57"/>
      <c r="P12" s="57"/>
      <c r="Q12" s="57"/>
      <c r="R12" s="57"/>
      <c r="S12" s="82"/>
      <c r="T12" s="57">
        <f t="shared" si="1"/>
        <v>0</v>
      </c>
      <c r="U12" s="57"/>
      <c r="V12" s="57"/>
      <c r="W12" s="57"/>
      <c r="X12" s="57"/>
      <c r="Y12" s="86"/>
      <c r="Z12" s="57"/>
      <c r="AA12" s="86">
        <v>0</v>
      </c>
      <c r="AB12" s="58"/>
      <c r="AC12" s="58"/>
      <c r="AD12" s="58"/>
      <c r="AE12" s="86">
        <v>0</v>
      </c>
      <c r="AF12" s="58"/>
      <c r="AG12" s="57"/>
      <c r="AH12" s="57"/>
      <c r="AI12" s="86">
        <v>0</v>
      </c>
      <c r="AJ12" s="41">
        <v>0</v>
      </c>
      <c r="AK12" s="100">
        <f t="shared" si="0"/>
        <v>0</v>
      </c>
    </row>
    <row r="13" spans="2:37" x14ac:dyDescent="0.2">
      <c r="B13" s="128" t="s">
        <v>66</v>
      </c>
      <c r="C13" s="15" t="s">
        <v>73</v>
      </c>
      <c r="D13" s="75">
        <v>9</v>
      </c>
      <c r="E13" s="73" t="s">
        <v>103</v>
      </c>
      <c r="F13" s="74" t="s">
        <v>29</v>
      </c>
      <c r="G13" s="33"/>
      <c r="H13" s="21"/>
      <c r="I13" s="17"/>
      <c r="J13" s="17"/>
      <c r="K13" s="90">
        <v>0</v>
      </c>
      <c r="L13" s="17"/>
      <c r="M13" s="33"/>
      <c r="N13" s="33"/>
      <c r="O13" s="24"/>
      <c r="P13" s="24"/>
      <c r="Q13" s="24"/>
      <c r="R13" s="17">
        <f>O13*0.045</f>
        <v>0</v>
      </c>
      <c r="S13" s="20"/>
      <c r="T13" s="90">
        <f t="shared" si="1"/>
        <v>0</v>
      </c>
      <c r="U13" s="17"/>
      <c r="V13" s="24"/>
      <c r="W13" s="17"/>
      <c r="X13" s="17"/>
      <c r="Y13" s="90"/>
      <c r="Z13" s="17"/>
      <c r="AA13" s="90">
        <v>0</v>
      </c>
      <c r="AB13" s="10"/>
      <c r="AC13" s="10"/>
      <c r="AD13" s="10"/>
      <c r="AE13" s="10"/>
      <c r="AF13" s="10"/>
      <c r="AG13" s="17"/>
      <c r="AH13" s="17"/>
      <c r="AI13" s="17"/>
      <c r="AJ13" s="17"/>
      <c r="AK13" s="100">
        <f t="shared" si="0"/>
        <v>0</v>
      </c>
    </row>
    <row r="14" spans="2:37" x14ac:dyDescent="0.2">
      <c r="B14" s="128"/>
      <c r="C14" s="51" t="s">
        <v>74</v>
      </c>
      <c r="D14" s="77">
        <v>10</v>
      </c>
      <c r="E14" s="79" t="s">
        <v>113</v>
      </c>
      <c r="F14" s="81" t="s">
        <v>30</v>
      </c>
      <c r="G14" s="55"/>
      <c r="H14" s="57"/>
      <c r="I14" s="57"/>
      <c r="J14" s="57"/>
      <c r="K14" s="86"/>
      <c r="L14" s="57"/>
      <c r="M14" s="55"/>
      <c r="N14" s="55"/>
      <c r="O14" s="57"/>
      <c r="P14" s="57"/>
      <c r="Q14" s="57"/>
      <c r="R14" s="57"/>
      <c r="S14" s="82"/>
      <c r="T14" s="57">
        <f t="shared" si="1"/>
        <v>0</v>
      </c>
      <c r="U14" s="57"/>
      <c r="V14" s="57"/>
      <c r="W14" s="57"/>
      <c r="X14" s="57"/>
      <c r="Y14" s="86"/>
      <c r="Z14" s="57"/>
      <c r="AA14" s="86">
        <v>0</v>
      </c>
      <c r="AB14" s="58"/>
      <c r="AC14" s="58"/>
      <c r="AD14" s="58"/>
      <c r="AE14" s="86">
        <v>0</v>
      </c>
      <c r="AF14" s="58"/>
      <c r="AG14" s="57"/>
      <c r="AH14" s="57"/>
      <c r="AI14" s="86">
        <v>0</v>
      </c>
      <c r="AJ14" s="41">
        <v>0</v>
      </c>
      <c r="AK14" s="100">
        <f t="shared" si="0"/>
        <v>0</v>
      </c>
    </row>
    <row r="15" spans="2:37" x14ac:dyDescent="0.2">
      <c r="B15" s="128"/>
      <c r="C15" s="51" t="s">
        <v>75</v>
      </c>
      <c r="D15" s="77">
        <v>11</v>
      </c>
      <c r="E15" s="79" t="s">
        <v>112</v>
      </c>
      <c r="F15" s="81" t="s">
        <v>30</v>
      </c>
      <c r="G15" s="55"/>
      <c r="H15" s="57"/>
      <c r="I15" s="57"/>
      <c r="J15" s="57"/>
      <c r="K15" s="86"/>
      <c r="L15" s="57"/>
      <c r="M15" s="55"/>
      <c r="N15" s="55"/>
      <c r="O15" s="57"/>
      <c r="P15" s="57"/>
      <c r="Q15" s="57"/>
      <c r="R15" s="57"/>
      <c r="S15" s="82"/>
      <c r="T15" s="57">
        <f t="shared" si="1"/>
        <v>0</v>
      </c>
      <c r="U15" s="57"/>
      <c r="V15" s="57"/>
      <c r="W15" s="57"/>
      <c r="X15" s="57"/>
      <c r="Y15" s="86"/>
      <c r="Z15" s="57"/>
      <c r="AA15" s="86">
        <v>3000</v>
      </c>
      <c r="AB15" s="58"/>
      <c r="AC15" s="58"/>
      <c r="AD15" s="58"/>
      <c r="AE15" s="86">
        <v>0</v>
      </c>
      <c r="AF15" s="58"/>
      <c r="AG15" s="57"/>
      <c r="AH15" s="57"/>
      <c r="AI15" s="86">
        <v>0</v>
      </c>
      <c r="AJ15" s="41">
        <v>0</v>
      </c>
      <c r="AK15" s="100">
        <f t="shared" si="0"/>
        <v>3000</v>
      </c>
    </row>
    <row r="16" spans="2:37" x14ac:dyDescent="0.2">
      <c r="B16" s="128"/>
      <c r="C16" s="15" t="s">
        <v>80</v>
      </c>
      <c r="D16" s="75">
        <v>12</v>
      </c>
      <c r="E16" s="73" t="s">
        <v>111</v>
      </c>
      <c r="F16" s="74" t="s">
        <v>29</v>
      </c>
      <c r="G16" s="33"/>
      <c r="H16" s="17"/>
      <c r="I16" s="17">
        <f>I15*G16</f>
        <v>0</v>
      </c>
      <c r="J16" s="17"/>
      <c r="K16" s="90">
        <v>0</v>
      </c>
      <c r="L16" s="17"/>
      <c r="M16" s="33"/>
      <c r="N16" s="33"/>
      <c r="O16" s="24"/>
      <c r="P16" s="24"/>
      <c r="Q16" s="24"/>
      <c r="R16" s="17">
        <f>O16*0.045</f>
        <v>0</v>
      </c>
      <c r="S16" s="20"/>
      <c r="T16" s="90">
        <f t="shared" si="1"/>
        <v>0</v>
      </c>
      <c r="U16" s="17"/>
      <c r="V16" s="24"/>
      <c r="W16" s="17"/>
      <c r="X16" s="17"/>
      <c r="Y16" s="90"/>
      <c r="Z16" s="17"/>
      <c r="AA16" s="90">
        <v>0</v>
      </c>
      <c r="AB16" s="10"/>
      <c r="AC16" s="10"/>
      <c r="AD16" s="10"/>
      <c r="AE16" s="10"/>
      <c r="AF16" s="10"/>
      <c r="AG16" s="17"/>
      <c r="AH16" s="17"/>
      <c r="AI16" s="17"/>
      <c r="AJ16" s="17"/>
      <c r="AK16" s="100">
        <f t="shared" si="0"/>
        <v>0</v>
      </c>
    </row>
    <row r="17" spans="1:37" x14ac:dyDescent="0.2">
      <c r="B17" s="142" t="s">
        <v>67</v>
      </c>
      <c r="C17" s="15" t="s">
        <v>76</v>
      </c>
      <c r="D17" s="75">
        <v>13</v>
      </c>
      <c r="E17" s="73" t="s">
        <v>110</v>
      </c>
      <c r="F17" s="74" t="s">
        <v>29</v>
      </c>
      <c r="G17" s="33"/>
      <c r="H17" s="17"/>
      <c r="I17" s="17"/>
      <c r="J17" s="17"/>
      <c r="K17" s="90"/>
      <c r="L17" s="17"/>
      <c r="M17" s="33"/>
      <c r="N17" s="33"/>
      <c r="O17" s="24"/>
      <c r="P17" s="24"/>
      <c r="Q17" s="24"/>
      <c r="R17" s="17"/>
      <c r="S17" s="20"/>
      <c r="T17" s="90"/>
      <c r="U17" s="17"/>
      <c r="V17" s="24"/>
      <c r="W17" s="17"/>
      <c r="X17" s="17"/>
      <c r="Y17" s="90"/>
      <c r="Z17" s="17"/>
      <c r="AA17" s="90"/>
      <c r="AB17" s="10"/>
      <c r="AC17" s="10"/>
      <c r="AD17" s="10"/>
      <c r="AE17" s="10"/>
      <c r="AF17" s="10"/>
      <c r="AG17" s="17"/>
      <c r="AH17" s="17"/>
      <c r="AI17" s="17"/>
      <c r="AJ17" s="17"/>
      <c r="AK17" s="100"/>
    </row>
    <row r="18" spans="1:37" x14ac:dyDescent="0.2">
      <c r="B18" s="143"/>
      <c r="C18" s="51" t="s">
        <v>77</v>
      </c>
      <c r="D18" s="77">
        <v>14</v>
      </c>
      <c r="E18" s="79" t="s">
        <v>109</v>
      </c>
      <c r="F18" s="81" t="s">
        <v>30</v>
      </c>
      <c r="G18" s="82"/>
      <c r="H18" s="82"/>
      <c r="I18" s="82"/>
      <c r="J18" s="57"/>
      <c r="K18" s="93"/>
      <c r="L18" s="57"/>
      <c r="M18" s="54"/>
      <c r="N18" s="54"/>
      <c r="O18" s="54"/>
      <c r="P18" s="83"/>
      <c r="Q18" s="83"/>
      <c r="R18" s="83"/>
      <c r="S18" s="82"/>
      <c r="T18" s="83"/>
      <c r="U18" s="57"/>
      <c r="V18" s="54"/>
      <c r="W18" s="57"/>
      <c r="X18" s="57"/>
      <c r="Y18" s="94"/>
      <c r="Z18" s="57"/>
      <c r="AA18" s="86"/>
      <c r="AB18" s="58"/>
      <c r="AC18" s="58"/>
      <c r="AD18" s="58"/>
      <c r="AE18" s="86"/>
      <c r="AF18" s="58"/>
      <c r="AG18" s="57"/>
      <c r="AH18" s="57"/>
      <c r="AI18" s="86"/>
      <c r="AJ18" s="41"/>
      <c r="AK18" s="100"/>
    </row>
    <row r="19" spans="1:37" x14ac:dyDescent="0.2">
      <c r="B19" s="144"/>
      <c r="C19" s="15" t="s">
        <v>78</v>
      </c>
      <c r="D19" s="75">
        <v>15</v>
      </c>
      <c r="E19" s="73" t="s">
        <v>108</v>
      </c>
      <c r="F19" s="76" t="s">
        <v>29</v>
      </c>
      <c r="G19" s="33"/>
      <c r="H19" s="17"/>
      <c r="I19" s="17">
        <f>I16*G19</f>
        <v>0</v>
      </c>
      <c r="J19" s="17"/>
      <c r="K19" s="90">
        <v>0</v>
      </c>
      <c r="L19" s="17"/>
      <c r="M19" s="33"/>
      <c r="N19" s="33"/>
      <c r="O19" s="24"/>
      <c r="P19" s="24"/>
      <c r="Q19" s="24"/>
      <c r="R19" s="17">
        <f>O19*0.045</f>
        <v>0</v>
      </c>
      <c r="S19" s="20"/>
      <c r="T19" s="90">
        <f>SUM(O19:R19)*M19*N19</f>
        <v>0</v>
      </c>
      <c r="U19" s="17"/>
      <c r="V19" s="24"/>
      <c r="W19" s="17"/>
      <c r="X19" s="17"/>
      <c r="Y19" s="90"/>
      <c r="Z19" s="17"/>
      <c r="AA19" s="90">
        <v>0</v>
      </c>
      <c r="AB19" s="10"/>
      <c r="AC19" s="10"/>
      <c r="AD19" s="10"/>
      <c r="AE19" s="10"/>
      <c r="AF19" s="10"/>
      <c r="AG19" s="17"/>
      <c r="AH19" s="17"/>
      <c r="AI19" s="17"/>
      <c r="AJ19" s="17"/>
      <c r="AK19" s="100">
        <f>SUM(S19:AJ19)+SUM(I19:L19)</f>
        <v>0</v>
      </c>
    </row>
    <row r="20" spans="1:37" x14ac:dyDescent="0.2">
      <c r="B20" s="35"/>
      <c r="C20" s="12"/>
      <c r="D20" s="37"/>
      <c r="E20" s="38"/>
      <c r="F20" s="39"/>
      <c r="G20" s="59" t="s">
        <v>95</v>
      </c>
      <c r="H20" s="60"/>
      <c r="I20" s="60">
        <f>SUM(I4:I19)</f>
        <v>0</v>
      </c>
      <c r="J20" s="60">
        <f>SUM(J4:J19)</f>
        <v>0</v>
      </c>
      <c r="K20" s="60">
        <f>SUM(K4:K19)</f>
        <v>0</v>
      </c>
      <c r="L20" s="60">
        <f>SUM(L4:L19)</f>
        <v>0</v>
      </c>
      <c r="M20" s="60"/>
      <c r="N20" s="60"/>
      <c r="O20" s="60"/>
      <c r="P20" s="60"/>
      <c r="Q20" s="60"/>
      <c r="R20" s="60"/>
      <c r="S20" s="60">
        <f t="shared" ref="S20:AJ20" si="2">SUM(S4:S19)</f>
        <v>0</v>
      </c>
      <c r="T20" s="60">
        <f t="shared" si="2"/>
        <v>0</v>
      </c>
      <c r="U20" s="60">
        <f t="shared" si="2"/>
        <v>0</v>
      </c>
      <c r="V20" s="60">
        <f t="shared" si="2"/>
        <v>0</v>
      </c>
      <c r="W20" s="60">
        <f t="shared" si="2"/>
        <v>0</v>
      </c>
      <c r="X20" s="60">
        <f t="shared" si="2"/>
        <v>0</v>
      </c>
      <c r="Y20" s="60">
        <f t="shared" si="2"/>
        <v>0</v>
      </c>
      <c r="Z20" s="60">
        <f t="shared" si="2"/>
        <v>0</v>
      </c>
      <c r="AA20" s="60">
        <f t="shared" si="2"/>
        <v>6000</v>
      </c>
      <c r="AB20" s="60">
        <f t="shared" si="2"/>
        <v>0</v>
      </c>
      <c r="AC20" s="60">
        <f t="shared" si="2"/>
        <v>0</v>
      </c>
      <c r="AD20" s="60">
        <f t="shared" si="2"/>
        <v>0</v>
      </c>
      <c r="AE20" s="60">
        <f t="shared" si="2"/>
        <v>0</v>
      </c>
      <c r="AF20" s="60">
        <f t="shared" si="2"/>
        <v>0</v>
      </c>
      <c r="AG20" s="60">
        <f t="shared" si="2"/>
        <v>0</v>
      </c>
      <c r="AH20" s="60">
        <f t="shared" si="2"/>
        <v>0</v>
      </c>
      <c r="AI20" s="60">
        <f t="shared" si="2"/>
        <v>0</v>
      </c>
      <c r="AJ20" s="60">
        <f t="shared" si="2"/>
        <v>0</v>
      </c>
      <c r="AK20" s="99">
        <f>SUM(AK5:AK19)</f>
        <v>6000</v>
      </c>
    </row>
    <row r="21" spans="1:37" x14ac:dyDescent="0.2">
      <c r="E21" s="22"/>
      <c r="L21" s="18"/>
      <c r="N21" s="19"/>
      <c r="P21" s="19"/>
      <c r="Q21" s="19"/>
      <c r="R21" s="19"/>
      <c r="S21" s="19"/>
      <c r="T21" s="19"/>
      <c r="Y21" s="18"/>
    </row>
    <row r="22" spans="1:37" ht="17" thickBot="1" x14ac:dyDescent="0.25">
      <c r="E22" s="13"/>
      <c r="F22" s="45" t="s">
        <v>54</v>
      </c>
      <c r="G22" s="45" t="s">
        <v>55</v>
      </c>
      <c r="H22" s="45" t="s">
        <v>56</v>
      </c>
      <c r="I22" s="45" t="s">
        <v>57</v>
      </c>
      <c r="J22" s="45" t="s">
        <v>58</v>
      </c>
      <c r="K22" s="45" t="s">
        <v>59</v>
      </c>
      <c r="L22" s="18"/>
      <c r="N22" s="19"/>
      <c r="P22" s="19"/>
      <c r="Q22" s="19"/>
      <c r="R22" s="19"/>
      <c r="S22" s="19"/>
      <c r="T22" s="19"/>
      <c r="Y22" s="18"/>
    </row>
    <row r="23" spans="1:37" ht="15.5" customHeight="1" x14ac:dyDescent="0.2">
      <c r="D23" s="124" t="s">
        <v>44</v>
      </c>
      <c r="E23" s="25" t="s">
        <v>45</v>
      </c>
      <c r="F23" s="26"/>
      <c r="G23" s="26"/>
      <c r="H23" s="26"/>
      <c r="I23" s="26"/>
      <c r="J23" s="26"/>
      <c r="K23" s="27"/>
      <c r="L23" s="18"/>
      <c r="N23" s="19"/>
      <c r="P23" s="19"/>
      <c r="Q23" s="19"/>
      <c r="R23" s="19"/>
      <c r="S23" s="19"/>
      <c r="T23" s="19"/>
      <c r="Y23" s="18"/>
    </row>
    <row r="24" spans="1:37" x14ac:dyDescent="0.2">
      <c r="D24" s="124"/>
      <c r="E24" s="6" t="s">
        <v>46</v>
      </c>
      <c r="F24" s="17">
        <f>SUM(I5:I8)</f>
        <v>0</v>
      </c>
      <c r="G24" s="17">
        <f>SUM(I9:I12)</f>
        <v>0</v>
      </c>
      <c r="H24" s="17">
        <f>SUM(I13:I16)</f>
        <v>0</v>
      </c>
      <c r="I24" s="17">
        <f>SUM(I19:I19)</f>
        <v>0</v>
      </c>
      <c r="J24" s="17"/>
      <c r="K24" s="28"/>
      <c r="L24" s="18">
        <f>SUM(F24:K24)</f>
        <v>0</v>
      </c>
      <c r="N24" s="19"/>
      <c r="P24" s="19"/>
      <c r="Q24" s="19"/>
      <c r="R24" s="19"/>
      <c r="S24" s="19"/>
      <c r="T24" s="19"/>
      <c r="Y24" s="18"/>
    </row>
    <row r="25" spans="1:37" x14ac:dyDescent="0.2">
      <c r="D25" s="124"/>
      <c r="E25" s="6" t="s">
        <v>47</v>
      </c>
      <c r="F25" s="17">
        <f>SUM(J5:L8)</f>
        <v>0</v>
      </c>
      <c r="G25" s="17">
        <f>SUM(J9:L12)</f>
        <v>0</v>
      </c>
      <c r="H25" s="17">
        <f>SUM(J13:L16)</f>
        <v>0</v>
      </c>
      <c r="I25" s="17">
        <f>SUM(J19:L19)</f>
        <v>0</v>
      </c>
      <c r="J25" s="17"/>
      <c r="K25" s="28"/>
      <c r="L25" s="18">
        <f>SUM(F25:K25)</f>
        <v>0</v>
      </c>
      <c r="N25" s="19"/>
      <c r="P25" s="19"/>
      <c r="Q25" s="19"/>
      <c r="R25" s="19"/>
      <c r="S25" s="19"/>
      <c r="T25" s="19"/>
      <c r="Y25" s="18"/>
    </row>
    <row r="26" spans="1:37" x14ac:dyDescent="0.2">
      <c r="D26" s="124"/>
      <c r="E26" s="4" t="s">
        <v>18</v>
      </c>
      <c r="F26" s="17"/>
      <c r="G26" s="17"/>
      <c r="H26" s="17"/>
      <c r="I26" s="17"/>
      <c r="J26" s="17"/>
      <c r="K26" s="28"/>
      <c r="L26" s="18"/>
      <c r="N26" s="19"/>
      <c r="P26" s="19"/>
      <c r="Q26" s="19"/>
      <c r="R26" s="19"/>
      <c r="S26" s="19"/>
      <c r="T26" s="19"/>
      <c r="Y26" s="18"/>
    </row>
    <row r="27" spans="1:37" x14ac:dyDescent="0.2">
      <c r="D27" s="124"/>
      <c r="E27" s="6" t="s">
        <v>52</v>
      </c>
      <c r="F27" s="17">
        <f>SUM(T5:T8)</f>
        <v>0</v>
      </c>
      <c r="G27" s="17">
        <f>SUM(T9:T12)</f>
        <v>0</v>
      </c>
      <c r="H27" s="17">
        <f>SUM(T13:T16)</f>
        <v>0</v>
      </c>
      <c r="I27" s="17">
        <f>SUM(T19:T19)</f>
        <v>0</v>
      </c>
      <c r="J27" s="17"/>
      <c r="K27" s="28"/>
      <c r="L27" s="18">
        <f t="shared" ref="L27:L45" si="3">SUM(F27:K27)</f>
        <v>0</v>
      </c>
      <c r="Y27" s="18"/>
      <c r="AA27" s="18"/>
      <c r="AB27" s="18"/>
      <c r="AC27" s="18"/>
      <c r="AD27" s="18"/>
      <c r="AE27" s="18"/>
      <c r="AF27" s="18"/>
    </row>
    <row r="28" spans="1:37" x14ac:dyDescent="0.2">
      <c r="D28" s="124"/>
      <c r="E28" s="6" t="s">
        <v>17</v>
      </c>
      <c r="F28" s="17"/>
      <c r="G28" s="17"/>
      <c r="H28" s="17"/>
      <c r="I28" s="17"/>
      <c r="J28" s="17"/>
      <c r="K28" s="28"/>
      <c r="L28" s="18">
        <f t="shared" si="3"/>
        <v>0</v>
      </c>
      <c r="Y28" s="18"/>
      <c r="AA28" s="18"/>
      <c r="AB28" s="18"/>
      <c r="AC28" s="18"/>
      <c r="AD28" s="18"/>
      <c r="AE28" s="18"/>
      <c r="AF28" s="18"/>
    </row>
    <row r="29" spans="1:37" x14ac:dyDescent="0.2">
      <c r="D29" s="124"/>
      <c r="E29" s="4" t="s">
        <v>97</v>
      </c>
      <c r="F29" s="17"/>
      <c r="G29" s="17"/>
      <c r="H29" s="17"/>
      <c r="I29" s="17"/>
      <c r="J29" s="17"/>
      <c r="K29" s="28"/>
      <c r="L29" s="18">
        <f t="shared" si="3"/>
        <v>0</v>
      </c>
      <c r="N29" s="19"/>
      <c r="Y29" s="18"/>
      <c r="AA29" s="18"/>
      <c r="AB29" s="18"/>
      <c r="AC29" s="18"/>
      <c r="AD29" s="18"/>
      <c r="AE29" s="18"/>
      <c r="AF29" s="18"/>
    </row>
    <row r="30" spans="1:37" x14ac:dyDescent="0.2">
      <c r="D30" s="124"/>
      <c r="E30" s="47" t="s">
        <v>101</v>
      </c>
      <c r="F30" s="17">
        <f>SUM(V5:V8)</f>
        <v>0</v>
      </c>
      <c r="G30" s="17">
        <f>SUM(V9:V12)</f>
        <v>0</v>
      </c>
      <c r="H30" s="17">
        <f>SUM(V13:V16)</f>
        <v>0</v>
      </c>
      <c r="I30" s="17">
        <f>SUM(V19:V19)</f>
        <v>0</v>
      </c>
      <c r="J30" s="17"/>
      <c r="K30" s="28"/>
      <c r="L30" s="18">
        <f t="shared" si="3"/>
        <v>0</v>
      </c>
      <c r="N30" s="19"/>
      <c r="Y30" s="18"/>
      <c r="AA30" s="18"/>
      <c r="AB30" s="18"/>
      <c r="AC30" s="18"/>
      <c r="AD30" s="18"/>
      <c r="AE30" s="18"/>
      <c r="AF30" s="18"/>
    </row>
    <row r="31" spans="1:37" x14ac:dyDescent="0.2">
      <c r="D31" s="124"/>
      <c r="E31" s="4" t="s">
        <v>20</v>
      </c>
      <c r="F31" s="17"/>
      <c r="G31" s="17"/>
      <c r="H31" s="17"/>
      <c r="I31" s="17"/>
      <c r="J31" s="17"/>
      <c r="K31" s="28"/>
      <c r="L31" s="18">
        <f t="shared" si="3"/>
        <v>0</v>
      </c>
    </row>
    <row r="32" spans="1:37" s="7" customFormat="1" ht="17" thickBot="1" x14ac:dyDescent="0.25">
      <c r="A32" s="21"/>
      <c r="B32" s="21"/>
      <c r="C32" s="21"/>
      <c r="D32" s="125"/>
      <c r="E32" s="29" t="s">
        <v>21</v>
      </c>
      <c r="F32" s="30"/>
      <c r="G32" s="30"/>
      <c r="H32" s="30"/>
      <c r="I32" s="30"/>
      <c r="J32" s="30"/>
      <c r="K32" s="31"/>
      <c r="L32" s="18">
        <f t="shared" si="3"/>
        <v>0</v>
      </c>
      <c r="N32" s="19"/>
      <c r="AK32" s="21"/>
    </row>
    <row r="33" spans="1:37" s="7" customFormat="1" x14ac:dyDescent="0.2">
      <c r="A33" s="21"/>
      <c r="B33" s="21"/>
      <c r="C33" s="21"/>
      <c r="D33" s="126" t="s">
        <v>87</v>
      </c>
      <c r="E33" s="46" t="s">
        <v>45</v>
      </c>
      <c r="F33" s="61">
        <f>SUM(Y5:Y8)</f>
        <v>0</v>
      </c>
      <c r="G33" s="61">
        <f>SUM(Y9:Y12)</f>
        <v>0</v>
      </c>
      <c r="H33" s="61">
        <f>SUM(Y13:Y16)</f>
        <v>0</v>
      </c>
      <c r="I33" s="61">
        <f>SUM(Y19:Y19)</f>
        <v>0</v>
      </c>
      <c r="J33" s="61"/>
      <c r="K33" s="62"/>
      <c r="L33" s="18">
        <f t="shared" si="3"/>
        <v>0</v>
      </c>
      <c r="AK33" s="21"/>
    </row>
    <row r="34" spans="1:37" s="7" customFormat="1" x14ac:dyDescent="0.2">
      <c r="A34" s="21"/>
      <c r="B34" s="21"/>
      <c r="C34" s="21"/>
      <c r="D34" s="126"/>
      <c r="E34" s="47" t="s">
        <v>27</v>
      </c>
      <c r="F34" s="17"/>
      <c r="G34" s="17"/>
      <c r="H34" s="17"/>
      <c r="I34" s="17"/>
      <c r="J34" s="17"/>
      <c r="K34" s="28"/>
      <c r="L34" s="18">
        <f t="shared" si="3"/>
        <v>0</v>
      </c>
      <c r="AK34" s="21"/>
    </row>
    <row r="35" spans="1:37" s="7" customFormat="1" ht="17" x14ac:dyDescent="0.2">
      <c r="A35" s="21"/>
      <c r="B35" s="21"/>
      <c r="C35" s="21"/>
      <c r="D35" s="126"/>
      <c r="E35" s="48" t="s">
        <v>5</v>
      </c>
      <c r="F35" s="95">
        <f>SUM(AA5:AA8)</f>
        <v>3000</v>
      </c>
      <c r="G35" s="17">
        <f>SUM(AA9:AA12)</f>
        <v>0</v>
      </c>
      <c r="H35" s="17">
        <f>SUM(AA13:AA16)</f>
        <v>3000</v>
      </c>
      <c r="I35" s="17">
        <f>SUM(AA17:AA19)</f>
        <v>0</v>
      </c>
      <c r="J35" s="8"/>
      <c r="K35" s="63"/>
      <c r="L35" s="18">
        <f t="shared" si="3"/>
        <v>6000</v>
      </c>
      <c r="AK35" s="21"/>
    </row>
    <row r="36" spans="1:37" s="7" customFormat="1" ht="17" x14ac:dyDescent="0.2">
      <c r="A36" s="21"/>
      <c r="B36" s="21"/>
      <c r="C36" s="21"/>
      <c r="D36" s="126"/>
      <c r="E36" s="48" t="s">
        <v>93</v>
      </c>
      <c r="F36" s="23"/>
      <c r="G36" s="8"/>
      <c r="H36" s="8"/>
      <c r="I36" s="8"/>
      <c r="J36" s="8"/>
      <c r="K36" s="63"/>
      <c r="L36" s="18">
        <f t="shared" si="3"/>
        <v>0</v>
      </c>
      <c r="AK36" s="21"/>
    </row>
    <row r="37" spans="1:37" s="7" customFormat="1" ht="17" x14ac:dyDescent="0.2">
      <c r="A37" s="21"/>
      <c r="B37" s="21"/>
      <c r="C37" s="21"/>
      <c r="D37" s="126"/>
      <c r="E37" s="48" t="s">
        <v>92</v>
      </c>
      <c r="F37" s="23"/>
      <c r="G37" s="8"/>
      <c r="H37" s="8"/>
      <c r="I37" s="8"/>
      <c r="J37" s="8"/>
      <c r="K37" s="63"/>
      <c r="L37" s="18">
        <f t="shared" si="3"/>
        <v>0</v>
      </c>
      <c r="AK37" s="21"/>
    </row>
    <row r="38" spans="1:37" s="7" customFormat="1" ht="17" x14ac:dyDescent="0.2">
      <c r="A38" s="21"/>
      <c r="B38" s="21"/>
      <c r="C38" s="21"/>
      <c r="D38" s="126"/>
      <c r="E38" s="48" t="s">
        <v>91</v>
      </c>
      <c r="F38" s="23"/>
      <c r="G38" s="8"/>
      <c r="H38" s="8"/>
      <c r="I38" s="8"/>
      <c r="J38" s="8"/>
      <c r="K38" s="63"/>
      <c r="L38" s="18">
        <f t="shared" si="3"/>
        <v>0</v>
      </c>
      <c r="AK38" s="21"/>
    </row>
    <row r="39" spans="1:37" s="7" customFormat="1" ht="17" x14ac:dyDescent="0.2">
      <c r="A39" s="21"/>
      <c r="B39" s="21"/>
      <c r="C39" s="21"/>
      <c r="D39" s="126"/>
      <c r="E39" s="48" t="s">
        <v>25</v>
      </c>
      <c r="F39" s="95">
        <f>SUM(AE5:AE8)</f>
        <v>0</v>
      </c>
      <c r="G39" s="17">
        <f>SUM(AE9:AE12)</f>
        <v>0</v>
      </c>
      <c r="H39" s="96">
        <f>SUM(AE13:AE16)</f>
        <v>0</v>
      </c>
      <c r="I39" s="96">
        <f>SUM(AE19:AE19)</f>
        <v>0</v>
      </c>
      <c r="J39" s="8"/>
      <c r="K39" s="63"/>
      <c r="L39" s="18">
        <f t="shared" si="3"/>
        <v>0</v>
      </c>
      <c r="AK39" s="21"/>
    </row>
    <row r="40" spans="1:37" s="7" customFormat="1" ht="17" x14ac:dyDescent="0.2">
      <c r="A40" s="21"/>
      <c r="B40" s="21"/>
      <c r="C40" s="21"/>
      <c r="D40" s="126"/>
      <c r="E40" s="48" t="s">
        <v>90</v>
      </c>
      <c r="F40" s="23"/>
      <c r="G40" s="8"/>
      <c r="H40" s="8"/>
      <c r="I40" s="8"/>
      <c r="J40" s="8"/>
      <c r="K40" s="63"/>
      <c r="L40" s="18">
        <f t="shared" si="3"/>
        <v>0</v>
      </c>
      <c r="AK40" s="21"/>
    </row>
    <row r="41" spans="1:37" s="7" customFormat="1" ht="17" x14ac:dyDescent="0.2">
      <c r="A41" s="21"/>
      <c r="B41" s="21"/>
      <c r="C41" s="21"/>
      <c r="D41" s="126"/>
      <c r="E41" s="48" t="s">
        <v>89</v>
      </c>
      <c r="F41" s="23"/>
      <c r="G41" s="8"/>
      <c r="H41" s="8"/>
      <c r="I41" s="8"/>
      <c r="J41" s="8"/>
      <c r="K41" s="63"/>
      <c r="L41" s="18">
        <f t="shared" si="3"/>
        <v>0</v>
      </c>
      <c r="AK41" s="21"/>
    </row>
    <row r="42" spans="1:37" s="7" customFormat="1" ht="17" x14ac:dyDescent="0.2">
      <c r="A42" s="21"/>
      <c r="B42" s="21"/>
      <c r="C42" s="21"/>
      <c r="D42" s="126"/>
      <c r="E42" s="48" t="s">
        <v>23</v>
      </c>
      <c r="F42" s="23"/>
      <c r="G42" s="8"/>
      <c r="H42" s="8"/>
      <c r="I42" s="8"/>
      <c r="J42" s="8"/>
      <c r="K42" s="63"/>
      <c r="L42" s="18">
        <f t="shared" si="3"/>
        <v>0</v>
      </c>
      <c r="AK42" s="21"/>
    </row>
    <row r="43" spans="1:37" s="7" customFormat="1" ht="17" x14ac:dyDescent="0.2">
      <c r="A43" s="21"/>
      <c r="B43" s="21"/>
      <c r="C43" s="21"/>
      <c r="D43" s="126"/>
      <c r="E43" s="48" t="s">
        <v>24</v>
      </c>
      <c r="F43" s="95">
        <f>SUM(AI5:AI8)</f>
        <v>0</v>
      </c>
      <c r="G43" s="17">
        <f>SUM(AI9:AI12)</f>
        <v>0</v>
      </c>
      <c r="H43" s="17">
        <f>SUM(AI13:AI16)</f>
        <v>0</v>
      </c>
      <c r="I43" s="17">
        <f>SUM(AI19:AI19)</f>
        <v>0</v>
      </c>
      <c r="J43" s="8"/>
      <c r="K43" s="63"/>
      <c r="L43" s="18">
        <f t="shared" si="3"/>
        <v>0</v>
      </c>
      <c r="AK43" s="21"/>
    </row>
    <row r="44" spans="1:37" s="7" customFormat="1" ht="18" thickBot="1" x14ac:dyDescent="0.25">
      <c r="A44" s="21"/>
      <c r="B44" s="21"/>
      <c r="C44" s="21"/>
      <c r="D44" s="126"/>
      <c r="E44" s="49" t="s">
        <v>88</v>
      </c>
      <c r="F44" s="97">
        <f>SUM(AJ5:AJ8)</f>
        <v>0</v>
      </c>
      <c r="G44" s="30">
        <f>SUM(AJ9:AJ12)</f>
        <v>0</v>
      </c>
      <c r="H44" s="30">
        <f>SUM(AJ13:AJ16)</f>
        <v>0</v>
      </c>
      <c r="I44" s="30">
        <f>SUM(AJ19:AJ19)</f>
        <v>0</v>
      </c>
      <c r="J44" s="64"/>
      <c r="K44" s="65"/>
      <c r="L44" s="18">
        <f t="shared" si="3"/>
        <v>0</v>
      </c>
      <c r="AK44" s="21"/>
    </row>
    <row r="45" spans="1:37" s="7" customFormat="1" x14ac:dyDescent="0.2">
      <c r="A45" s="21"/>
      <c r="B45" s="21"/>
      <c r="C45" s="21"/>
      <c r="D45" s="21"/>
      <c r="E45" s="68" t="s">
        <v>98</v>
      </c>
      <c r="F45" s="69">
        <f t="shared" ref="F45:K45" si="4">SUM(F23:F44)</f>
        <v>3000</v>
      </c>
      <c r="G45" s="69">
        <f t="shared" si="4"/>
        <v>0</v>
      </c>
      <c r="H45" s="69">
        <f t="shared" si="4"/>
        <v>3000</v>
      </c>
      <c r="I45" s="69">
        <f t="shared" si="4"/>
        <v>0</v>
      </c>
      <c r="J45" s="69">
        <f t="shared" si="4"/>
        <v>0</v>
      </c>
      <c r="K45" s="69">
        <f t="shared" si="4"/>
        <v>0</v>
      </c>
      <c r="L45" s="18">
        <f t="shared" si="3"/>
        <v>6000</v>
      </c>
      <c r="AK45" s="21"/>
    </row>
  </sheetData>
  <mergeCells count="17">
    <mergeCell ref="H2:X2"/>
    <mergeCell ref="Y2:AJ2"/>
    <mergeCell ref="C3:C4"/>
    <mergeCell ref="D3:D4"/>
    <mergeCell ref="E3:E4"/>
    <mergeCell ref="F3:F4"/>
    <mergeCell ref="G3:G4"/>
    <mergeCell ref="H3:L3"/>
    <mergeCell ref="M3:T3"/>
    <mergeCell ref="U3:X3"/>
    <mergeCell ref="D23:D32"/>
    <mergeCell ref="D33:D44"/>
    <mergeCell ref="AB3:AJ3"/>
    <mergeCell ref="B5:B8"/>
    <mergeCell ref="B9:B12"/>
    <mergeCell ref="B13:B16"/>
    <mergeCell ref="B17:B19"/>
  </mergeCells>
  <pageMargins left="0.7" right="0.7" top="0.75" bottom="0.75" header="0.3" footer="0.3"/>
  <drawing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599D1-F407-4570-8761-2DFD283B1C48}">
  <dimension ref="B1:W956"/>
  <sheetViews>
    <sheetView showGridLines="0" tabSelected="1" topLeftCell="B1" zoomScale="80" zoomScaleNormal="80" workbookViewId="0">
      <selection activeCell="H16" sqref="H16"/>
    </sheetView>
  </sheetViews>
  <sheetFormatPr baseColWidth="10" defaultColWidth="13.83203125" defaultRowHeight="16" x14ac:dyDescent="0.2"/>
  <cols>
    <col min="1" max="1" width="3.6640625" style="7" customWidth="1"/>
    <col min="2" max="2" width="14.33203125" style="7" customWidth="1"/>
    <col min="3" max="3" width="18" style="7" customWidth="1"/>
    <col min="4" max="4" width="13.6640625" style="7" customWidth="1"/>
    <col min="5" max="5" width="33.83203125" style="7" customWidth="1"/>
    <col min="6" max="6" width="15.33203125" style="7" customWidth="1"/>
    <col min="7" max="7" width="17.6640625" style="7" bestFit="1" customWidth="1"/>
    <col min="8" max="11" width="15.33203125" style="7" customWidth="1"/>
    <col min="12" max="12" width="13.33203125" style="7" customWidth="1"/>
    <col min="13" max="22" width="15.33203125" style="7" customWidth="1"/>
    <col min="23" max="23" width="15.5" style="7" bestFit="1" customWidth="1"/>
    <col min="24" max="16384" width="13.83203125" style="7"/>
  </cols>
  <sheetData>
    <row r="1" spans="2:23" ht="14.25" customHeight="1" x14ac:dyDescent="0.2"/>
    <row r="2" spans="2:23" ht="24" x14ac:dyDescent="0.3">
      <c r="B2" s="145" t="s">
        <v>120</v>
      </c>
      <c r="C2" s="145"/>
      <c r="D2" s="145"/>
      <c r="E2" s="145"/>
      <c r="F2" s="145"/>
      <c r="G2" s="145"/>
      <c r="H2" s="129" t="s">
        <v>44</v>
      </c>
      <c r="I2" s="129"/>
      <c r="J2" s="129"/>
      <c r="K2" s="129"/>
      <c r="L2" s="129"/>
      <c r="M2" s="129"/>
      <c r="N2" s="129"/>
      <c r="O2" s="129"/>
      <c r="P2" s="129"/>
      <c r="Q2" s="129"/>
      <c r="R2" s="129"/>
      <c r="S2" s="129"/>
      <c r="T2" s="129"/>
      <c r="U2" s="129"/>
      <c r="V2" s="116"/>
    </row>
    <row r="3" spans="2:23" ht="21" x14ac:dyDescent="0.25">
      <c r="C3" s="146" t="s">
        <v>121</v>
      </c>
      <c r="D3" s="133" t="s">
        <v>48</v>
      </c>
      <c r="E3" s="135" t="s">
        <v>2</v>
      </c>
      <c r="F3" s="135" t="s">
        <v>3</v>
      </c>
      <c r="G3" s="137" t="s">
        <v>4</v>
      </c>
      <c r="H3" s="139" t="s">
        <v>60</v>
      </c>
      <c r="I3" s="140"/>
      <c r="J3" s="140"/>
      <c r="K3" s="117"/>
      <c r="L3" s="139" t="s">
        <v>1</v>
      </c>
      <c r="M3" s="140"/>
      <c r="N3" s="140"/>
      <c r="O3" s="140"/>
      <c r="P3" s="140"/>
      <c r="Q3" s="140"/>
      <c r="R3" s="140"/>
      <c r="S3" s="140"/>
      <c r="T3" s="140"/>
      <c r="U3" s="141"/>
      <c r="V3" s="44" t="s">
        <v>83</v>
      </c>
    </row>
    <row r="4" spans="2:23" s="14" customFormat="1" ht="72.5" customHeight="1" x14ac:dyDescent="0.2">
      <c r="C4" s="146"/>
      <c r="D4" s="133"/>
      <c r="E4" s="135"/>
      <c r="F4" s="135"/>
      <c r="G4" s="137"/>
      <c r="H4" s="50" t="s">
        <v>99</v>
      </c>
      <c r="I4" s="43" t="s">
        <v>52</v>
      </c>
      <c r="J4" s="43" t="s">
        <v>62</v>
      </c>
      <c r="K4" s="43" t="s">
        <v>136</v>
      </c>
      <c r="L4" s="50" t="s">
        <v>11</v>
      </c>
      <c r="M4" s="50" t="s">
        <v>12</v>
      </c>
      <c r="N4" s="50" t="s">
        <v>13</v>
      </c>
      <c r="O4" s="50" t="s">
        <v>14</v>
      </c>
      <c r="P4" s="50" t="s">
        <v>15</v>
      </c>
      <c r="Q4" s="50" t="s">
        <v>16</v>
      </c>
      <c r="R4" s="43" t="s">
        <v>18</v>
      </c>
      <c r="S4" s="43" t="s">
        <v>100</v>
      </c>
      <c r="T4" s="43" t="s">
        <v>20</v>
      </c>
      <c r="U4" s="43" t="s">
        <v>21</v>
      </c>
      <c r="V4" s="43" t="s">
        <v>27</v>
      </c>
      <c r="W4" s="101" t="s">
        <v>96</v>
      </c>
    </row>
    <row r="5" spans="2:23" ht="15.5" customHeight="1" x14ac:dyDescent="0.2">
      <c r="B5" s="40" t="s">
        <v>125</v>
      </c>
      <c r="C5" s="51"/>
      <c r="D5" s="52">
        <v>1</v>
      </c>
      <c r="E5" s="53" t="s">
        <v>51</v>
      </c>
      <c r="F5" s="54" t="s">
        <v>30</v>
      </c>
      <c r="G5" s="55">
        <v>31</v>
      </c>
      <c r="H5" s="5">
        <v>352</v>
      </c>
      <c r="I5" s="85">
        <v>11168</v>
      </c>
      <c r="J5" s="86">
        <v>1500</v>
      </c>
      <c r="K5" s="121">
        <v>5104</v>
      </c>
      <c r="L5" s="55"/>
      <c r="M5" s="55"/>
      <c r="N5" s="86"/>
      <c r="O5" s="55"/>
      <c r="P5" s="86"/>
      <c r="Q5" s="86"/>
      <c r="R5" s="86"/>
      <c r="S5" s="86">
        <v>8471.94</v>
      </c>
      <c r="T5" s="86">
        <v>600</v>
      </c>
      <c r="U5" s="55"/>
      <c r="V5" s="88">
        <f>(4*105)+(3*31)</f>
        <v>513</v>
      </c>
      <c r="W5" s="100">
        <f>V5+T5+S5+K5+J5+I5</f>
        <v>27356.940000000002</v>
      </c>
    </row>
    <row r="6" spans="2:23" ht="15.5" customHeight="1" x14ac:dyDescent="0.2">
      <c r="B6" s="40" t="s">
        <v>21</v>
      </c>
      <c r="C6" s="15"/>
      <c r="D6" s="32">
        <v>2</v>
      </c>
      <c r="E6" s="53" t="s">
        <v>34</v>
      </c>
      <c r="F6" s="9" t="s">
        <v>29</v>
      </c>
      <c r="G6" s="8">
        <v>28</v>
      </c>
      <c r="H6" s="5">
        <v>1923.5</v>
      </c>
      <c r="I6" s="17">
        <f>H6*28</f>
        <v>53858</v>
      </c>
      <c r="J6" s="17">
        <v>1500</v>
      </c>
      <c r="K6" s="17"/>
      <c r="L6" s="8">
        <v>16</v>
      </c>
      <c r="M6" s="8">
        <v>1</v>
      </c>
      <c r="N6" s="5">
        <v>1250</v>
      </c>
      <c r="O6" s="17">
        <v>50</v>
      </c>
      <c r="P6" s="17">
        <v>50</v>
      </c>
      <c r="Q6" s="17">
        <f t="shared" ref="Q6:Q21" si="0">N6*0.03</f>
        <v>37.5</v>
      </c>
      <c r="R6" s="91">
        <f>SUM(N6:Q6)*L6*M6</f>
        <v>22200</v>
      </c>
      <c r="S6" s="17">
        <v>45000</v>
      </c>
      <c r="T6" s="17">
        <v>1000</v>
      </c>
      <c r="U6" s="17">
        <v>111000</v>
      </c>
      <c r="V6" s="10"/>
      <c r="W6" s="100">
        <f>SUM(R6:V6)+SUM(I6:J6)</f>
        <v>234558</v>
      </c>
    </row>
    <row r="7" spans="2:23" ht="15.5" customHeight="1" x14ac:dyDescent="0.2">
      <c r="B7" s="40" t="s">
        <v>125</v>
      </c>
      <c r="C7" s="51"/>
      <c r="D7" s="52">
        <v>3</v>
      </c>
      <c r="E7" s="53" t="s">
        <v>32</v>
      </c>
      <c r="F7" s="54" t="s">
        <v>30</v>
      </c>
      <c r="G7" s="55">
        <v>31</v>
      </c>
      <c r="H7" s="57">
        <v>352</v>
      </c>
      <c r="I7" s="57">
        <f>H7*G7</f>
        <v>10912</v>
      </c>
      <c r="J7" s="57">
        <v>1500</v>
      </c>
      <c r="K7" s="57">
        <v>5104</v>
      </c>
      <c r="L7" s="55"/>
      <c r="M7" s="55"/>
      <c r="N7" s="57"/>
      <c r="O7" s="57"/>
      <c r="P7" s="57"/>
      <c r="Q7" s="57"/>
      <c r="R7" s="57">
        <f t="shared" ref="R7:R21" si="1">SUM(N7:Q7)*L7*M7</f>
        <v>0</v>
      </c>
      <c r="S7" s="86">
        <v>8471.94</v>
      </c>
      <c r="T7" s="57">
        <v>600</v>
      </c>
      <c r="U7" s="57"/>
      <c r="V7" s="88">
        <f>(4*105)+(3*31)</f>
        <v>513</v>
      </c>
      <c r="W7" s="100">
        <f>V7+T7+S7+K7+J7+I7</f>
        <v>27100.940000000002</v>
      </c>
    </row>
    <row r="8" spans="2:23" ht="15.5" customHeight="1" x14ac:dyDescent="0.2">
      <c r="B8" s="40" t="s">
        <v>21</v>
      </c>
      <c r="C8" s="8"/>
      <c r="D8" s="32">
        <v>4</v>
      </c>
      <c r="E8" s="53" t="s">
        <v>84</v>
      </c>
      <c r="F8" s="9" t="s">
        <v>29</v>
      </c>
      <c r="G8" s="8">
        <v>30</v>
      </c>
      <c r="H8" s="5">
        <v>2337</v>
      </c>
      <c r="I8" s="17">
        <f t="shared" ref="I8:I21" si="2">H8*G8</f>
        <v>70110</v>
      </c>
      <c r="J8" s="17">
        <v>1500</v>
      </c>
      <c r="K8" s="17"/>
      <c r="L8" s="8">
        <v>16</v>
      </c>
      <c r="M8" s="7">
        <v>1</v>
      </c>
      <c r="N8" s="5">
        <v>1250</v>
      </c>
      <c r="O8" s="17">
        <v>83</v>
      </c>
      <c r="P8" s="17">
        <v>65</v>
      </c>
      <c r="Q8" s="17">
        <f t="shared" si="0"/>
        <v>37.5</v>
      </c>
      <c r="R8" s="91">
        <f>SUM(N8:Q8)*L8*M8</f>
        <v>22968</v>
      </c>
      <c r="S8" s="17">
        <v>65000</v>
      </c>
      <c r="T8" s="17">
        <v>1000</v>
      </c>
      <c r="U8" s="17">
        <v>111000</v>
      </c>
      <c r="V8" s="10"/>
      <c r="W8" s="100">
        <f>SUM(R8:V8)+SUM(I8:J8)</f>
        <v>271578</v>
      </c>
    </row>
    <row r="9" spans="2:23" ht="15.5" customHeight="1" x14ac:dyDescent="0.2">
      <c r="B9" s="40" t="s">
        <v>126</v>
      </c>
      <c r="C9" s="51"/>
      <c r="D9" s="56">
        <v>5</v>
      </c>
      <c r="E9" s="53" t="s">
        <v>43</v>
      </c>
      <c r="F9" s="54" t="s">
        <v>30</v>
      </c>
      <c r="G9" s="55">
        <v>31</v>
      </c>
      <c r="H9" s="57">
        <v>352</v>
      </c>
      <c r="I9" s="57">
        <f t="shared" si="2"/>
        <v>10912</v>
      </c>
      <c r="J9" s="57">
        <v>1500</v>
      </c>
      <c r="K9" s="57">
        <v>5104</v>
      </c>
      <c r="L9" s="55"/>
      <c r="M9" s="55"/>
      <c r="N9" s="57"/>
      <c r="O9" s="57"/>
      <c r="P9" s="57"/>
      <c r="Q9" s="57"/>
      <c r="R9" s="57">
        <f t="shared" si="1"/>
        <v>0</v>
      </c>
      <c r="S9" s="57">
        <v>8471.94</v>
      </c>
      <c r="T9" s="57">
        <v>600</v>
      </c>
      <c r="U9" s="57"/>
      <c r="V9" s="88">
        <f>(4*105)+(3*31)</f>
        <v>513</v>
      </c>
      <c r="W9" s="100">
        <f>SUM(R9:V9)+SUM(I9:J9)+K9</f>
        <v>27100.940000000002</v>
      </c>
    </row>
    <row r="10" spans="2:23" ht="15.5" customHeight="1" x14ac:dyDescent="0.2">
      <c r="B10" s="40" t="s">
        <v>21</v>
      </c>
      <c r="C10" s="15"/>
      <c r="D10" s="32">
        <v>6</v>
      </c>
      <c r="E10" s="53" t="s">
        <v>36</v>
      </c>
      <c r="F10" s="9" t="s">
        <v>29</v>
      </c>
      <c r="G10" s="8">
        <v>28</v>
      </c>
      <c r="H10" s="5">
        <f>2161.5</f>
        <v>2161.5</v>
      </c>
      <c r="I10" s="17">
        <f t="shared" si="2"/>
        <v>60522</v>
      </c>
      <c r="J10" s="17">
        <v>1500</v>
      </c>
      <c r="K10" s="17"/>
      <c r="L10" s="8">
        <v>16</v>
      </c>
      <c r="M10" s="8">
        <v>1</v>
      </c>
      <c r="N10" s="5">
        <v>1250</v>
      </c>
      <c r="O10" s="17">
        <v>0</v>
      </c>
      <c r="P10" s="17">
        <v>40</v>
      </c>
      <c r="Q10" s="17">
        <f t="shared" si="0"/>
        <v>37.5</v>
      </c>
      <c r="R10" s="91">
        <f t="shared" si="1"/>
        <v>21240</v>
      </c>
      <c r="S10" s="17">
        <v>57000</v>
      </c>
      <c r="T10" s="17">
        <v>1000</v>
      </c>
      <c r="U10" s="17">
        <v>100000</v>
      </c>
      <c r="V10" s="10"/>
      <c r="W10" s="100">
        <f>SUM(R10:V10)+SUM(I10:J10)</f>
        <v>241262</v>
      </c>
    </row>
    <row r="11" spans="2:23" ht="15.5" customHeight="1" x14ac:dyDescent="0.2">
      <c r="B11" s="40" t="s">
        <v>125</v>
      </c>
      <c r="C11" s="15"/>
      <c r="D11" s="32">
        <v>7</v>
      </c>
      <c r="E11" s="53" t="s">
        <v>38</v>
      </c>
      <c r="F11" s="9" t="s">
        <v>29</v>
      </c>
      <c r="G11" s="8">
        <v>28</v>
      </c>
      <c r="H11" s="5">
        <v>1870</v>
      </c>
      <c r="I11" s="17">
        <f t="shared" si="2"/>
        <v>52360</v>
      </c>
      <c r="J11" s="17">
        <v>1500</v>
      </c>
      <c r="K11" s="17"/>
      <c r="L11" s="8">
        <v>16</v>
      </c>
      <c r="M11" s="7">
        <v>2</v>
      </c>
      <c r="N11" s="5">
        <v>1250</v>
      </c>
      <c r="O11" s="17">
        <v>50</v>
      </c>
      <c r="P11" s="17">
        <v>131.76</v>
      </c>
      <c r="Q11" s="17">
        <f t="shared" si="0"/>
        <v>37.5</v>
      </c>
      <c r="R11" s="91">
        <f t="shared" si="1"/>
        <v>47016.32</v>
      </c>
      <c r="S11" s="17">
        <v>65000</v>
      </c>
      <c r="T11" s="17">
        <v>600</v>
      </c>
      <c r="U11" s="17"/>
      <c r="V11" s="10"/>
      <c r="W11" s="100">
        <f>SUM(R11:V11)+SUM(I11:J11)</f>
        <v>166476.32</v>
      </c>
    </row>
    <row r="12" spans="2:23" ht="15.5" customHeight="1" x14ac:dyDescent="0.2">
      <c r="B12" s="40" t="s">
        <v>125</v>
      </c>
      <c r="C12" s="51"/>
      <c r="D12" s="52">
        <v>8</v>
      </c>
      <c r="E12" s="53" t="s">
        <v>122</v>
      </c>
      <c r="F12" s="54" t="s">
        <v>30</v>
      </c>
      <c r="G12" s="55">
        <v>31</v>
      </c>
      <c r="H12" s="57">
        <v>352</v>
      </c>
      <c r="I12" s="57">
        <f t="shared" si="2"/>
        <v>10912</v>
      </c>
      <c r="J12" s="57">
        <v>1500</v>
      </c>
      <c r="K12" s="57">
        <v>5104</v>
      </c>
      <c r="L12" s="55"/>
      <c r="M12" s="55"/>
      <c r="N12" s="57"/>
      <c r="O12" s="57"/>
      <c r="P12" s="57"/>
      <c r="Q12" s="57"/>
      <c r="R12" s="57">
        <f t="shared" si="1"/>
        <v>0</v>
      </c>
      <c r="S12" s="57">
        <v>8471.94</v>
      </c>
      <c r="T12" s="57">
        <v>600</v>
      </c>
      <c r="U12" s="57"/>
      <c r="V12" s="88">
        <f t="shared" ref="V12:V13" si="3">(4*105)+(3*31)</f>
        <v>513</v>
      </c>
      <c r="W12" s="100">
        <f>SUM(R12:V12)+SUM(I12:J12)+K12</f>
        <v>27100.940000000002</v>
      </c>
    </row>
    <row r="13" spans="2:23" ht="15.5" customHeight="1" x14ac:dyDescent="0.2">
      <c r="B13" s="40" t="s">
        <v>21</v>
      </c>
      <c r="C13" s="51"/>
      <c r="D13" s="52">
        <v>9</v>
      </c>
      <c r="E13" s="53" t="s">
        <v>39</v>
      </c>
      <c r="F13" s="54" t="s">
        <v>30</v>
      </c>
      <c r="G13" s="55">
        <v>31</v>
      </c>
      <c r="H13" s="57">
        <v>352</v>
      </c>
      <c r="I13" s="57">
        <f t="shared" si="2"/>
        <v>10912</v>
      </c>
      <c r="J13" s="57">
        <v>1500</v>
      </c>
      <c r="K13" s="57">
        <v>5104</v>
      </c>
      <c r="L13" s="55"/>
      <c r="M13" s="55"/>
      <c r="N13" s="57"/>
      <c r="O13" s="57"/>
      <c r="P13" s="57"/>
      <c r="Q13" s="57"/>
      <c r="R13" s="57">
        <f t="shared" si="1"/>
        <v>0</v>
      </c>
      <c r="S13" s="57">
        <v>8471.94</v>
      </c>
      <c r="T13" s="57">
        <v>600</v>
      </c>
      <c r="U13" s="57">
        <v>100000</v>
      </c>
      <c r="V13" s="88">
        <f t="shared" si="3"/>
        <v>513</v>
      </c>
      <c r="W13" s="100">
        <f>SUM(R13:V13)+SUM(I13:J13)</f>
        <v>121996.94</v>
      </c>
    </row>
    <row r="14" spans="2:23" ht="15.5" customHeight="1" x14ac:dyDescent="0.2">
      <c r="B14" s="40" t="s">
        <v>126</v>
      </c>
      <c r="C14" s="15"/>
      <c r="D14" s="40">
        <v>10</v>
      </c>
      <c r="E14" s="53" t="s">
        <v>37</v>
      </c>
      <c r="F14" s="9" t="s">
        <v>29</v>
      </c>
      <c r="G14" s="8">
        <v>28</v>
      </c>
      <c r="H14" s="5">
        <v>1870</v>
      </c>
      <c r="I14" s="17">
        <f t="shared" si="2"/>
        <v>52360</v>
      </c>
      <c r="J14" s="17">
        <v>1500</v>
      </c>
      <c r="K14" s="17"/>
      <c r="L14" s="8">
        <v>16</v>
      </c>
      <c r="M14" s="8">
        <v>1</v>
      </c>
      <c r="N14" s="5">
        <v>1250</v>
      </c>
      <c r="O14" s="17">
        <v>55</v>
      </c>
      <c r="P14" s="17">
        <v>0</v>
      </c>
      <c r="Q14" s="17">
        <f t="shared" si="0"/>
        <v>37.5</v>
      </c>
      <c r="R14" s="91">
        <f>SUM(N14:Q14)*L14*M14</f>
        <v>21480</v>
      </c>
      <c r="S14" s="17">
        <v>57000</v>
      </c>
      <c r="T14" s="17">
        <v>1000</v>
      </c>
      <c r="U14" s="17"/>
      <c r="V14" s="10"/>
      <c r="W14" s="100">
        <f>SUM(R14:V14)+SUM(I14:J14)</f>
        <v>133340</v>
      </c>
    </row>
    <row r="15" spans="2:23" ht="15.5" customHeight="1" x14ac:dyDescent="0.2">
      <c r="B15" s="40" t="s">
        <v>126</v>
      </c>
      <c r="C15" s="51"/>
      <c r="D15" s="52">
        <v>11</v>
      </c>
      <c r="E15" s="53" t="s">
        <v>123</v>
      </c>
      <c r="F15" s="54" t="s">
        <v>30</v>
      </c>
      <c r="G15" s="55">
        <v>28</v>
      </c>
      <c r="H15" s="57">
        <v>352</v>
      </c>
      <c r="I15" s="57">
        <f t="shared" si="2"/>
        <v>9856</v>
      </c>
      <c r="J15" s="57">
        <v>1500</v>
      </c>
      <c r="K15" s="57">
        <v>5104</v>
      </c>
      <c r="L15" s="55"/>
      <c r="M15" s="55"/>
      <c r="N15" s="57"/>
      <c r="O15" s="57"/>
      <c r="P15" s="57"/>
      <c r="Q15" s="57">
        <f>N15*0.045</f>
        <v>0</v>
      </c>
      <c r="R15" s="57">
        <f t="shared" si="1"/>
        <v>0</v>
      </c>
      <c r="S15" s="57">
        <v>8471.94</v>
      </c>
      <c r="T15" s="57">
        <v>600</v>
      </c>
      <c r="U15" s="57"/>
      <c r="V15" s="88">
        <f>(4*105)+(3*31)</f>
        <v>513</v>
      </c>
      <c r="W15" s="100">
        <f>SUM(R15:V15)+SUM(I15:J15)+K15</f>
        <v>26044.940000000002</v>
      </c>
    </row>
    <row r="16" spans="2:23" ht="15.5" customHeight="1" x14ac:dyDescent="0.2">
      <c r="B16" s="40" t="s">
        <v>21</v>
      </c>
      <c r="C16" s="15"/>
      <c r="D16" s="40">
        <v>12</v>
      </c>
      <c r="E16" s="53" t="s">
        <v>28</v>
      </c>
      <c r="F16" s="9" t="s">
        <v>29</v>
      </c>
      <c r="G16" s="8">
        <v>28</v>
      </c>
      <c r="H16" s="5">
        <v>1923.5</v>
      </c>
      <c r="I16" s="17">
        <f t="shared" si="2"/>
        <v>53858</v>
      </c>
      <c r="J16" s="17">
        <v>1500</v>
      </c>
      <c r="K16" s="17"/>
      <c r="L16" s="8">
        <v>16</v>
      </c>
      <c r="M16" s="8">
        <v>1</v>
      </c>
      <c r="N16" s="5">
        <v>1250</v>
      </c>
      <c r="O16" s="17">
        <v>50</v>
      </c>
      <c r="P16" s="17">
        <v>131.76</v>
      </c>
      <c r="Q16" s="17">
        <f t="shared" si="0"/>
        <v>37.5</v>
      </c>
      <c r="R16" s="91">
        <f>SUM(N16:Q16)*L16*M16</f>
        <v>23508.16</v>
      </c>
      <c r="S16" s="17">
        <v>45000</v>
      </c>
      <c r="T16" s="17">
        <v>1000</v>
      </c>
      <c r="U16" s="17">
        <v>100000</v>
      </c>
      <c r="V16" s="10"/>
      <c r="W16" s="100">
        <f>SUM(R16:V16)+SUM(I16:J16)</f>
        <v>224866.16</v>
      </c>
    </row>
    <row r="17" spans="2:23" ht="15.5" customHeight="1" x14ac:dyDescent="0.2">
      <c r="B17" s="40" t="s">
        <v>126</v>
      </c>
      <c r="C17" s="51"/>
      <c r="D17" s="52">
        <v>13</v>
      </c>
      <c r="E17" s="53" t="s">
        <v>41</v>
      </c>
      <c r="F17" s="54" t="s">
        <v>30</v>
      </c>
      <c r="G17" s="55">
        <v>31</v>
      </c>
      <c r="H17" s="57">
        <v>352</v>
      </c>
      <c r="I17" s="57">
        <f t="shared" si="2"/>
        <v>10912</v>
      </c>
      <c r="J17" s="57">
        <v>1500</v>
      </c>
      <c r="K17" s="57">
        <v>5104</v>
      </c>
      <c r="L17" s="55"/>
      <c r="M17" s="55"/>
      <c r="N17" s="57"/>
      <c r="O17" s="57"/>
      <c r="P17" s="57"/>
      <c r="Q17" s="57"/>
      <c r="R17" s="57">
        <f t="shared" si="1"/>
        <v>0</v>
      </c>
      <c r="S17" s="57">
        <v>8471.94</v>
      </c>
      <c r="T17" s="57">
        <v>600</v>
      </c>
      <c r="U17" s="57"/>
      <c r="V17" s="88">
        <f>(4*105)+(3*31)</f>
        <v>513</v>
      </c>
      <c r="W17" s="100">
        <f>SUM(R17:V17)+SUM(I17:J17)+K17</f>
        <v>27100.940000000002</v>
      </c>
    </row>
    <row r="18" spans="2:23" ht="15.5" customHeight="1" x14ac:dyDescent="0.2">
      <c r="B18" s="40" t="s">
        <v>125</v>
      </c>
      <c r="C18" s="51"/>
      <c r="D18" s="52">
        <v>14</v>
      </c>
      <c r="E18" s="53" t="s">
        <v>124</v>
      </c>
      <c r="F18" s="54" t="s">
        <v>30</v>
      </c>
      <c r="G18" s="55">
        <v>31</v>
      </c>
      <c r="H18" s="57">
        <v>352</v>
      </c>
      <c r="I18" s="57">
        <f t="shared" si="2"/>
        <v>10912</v>
      </c>
      <c r="J18" s="57">
        <v>1500</v>
      </c>
      <c r="K18" s="57">
        <v>5104</v>
      </c>
      <c r="L18" s="55"/>
      <c r="M18" s="55"/>
      <c r="N18" s="57"/>
      <c r="O18" s="57"/>
      <c r="P18" s="57"/>
      <c r="Q18" s="57"/>
      <c r="R18" s="57">
        <f t="shared" si="1"/>
        <v>0</v>
      </c>
      <c r="S18" s="57">
        <v>8471.94</v>
      </c>
      <c r="T18" s="57">
        <v>600</v>
      </c>
      <c r="U18" s="57"/>
      <c r="V18" s="88">
        <f>(4*105)+(3*31)</f>
        <v>513</v>
      </c>
      <c r="W18" s="100">
        <f>SUM(R18:V18)+SUM(I18:J18)+K18</f>
        <v>27100.940000000002</v>
      </c>
    </row>
    <row r="19" spans="2:23" ht="15.5" customHeight="1" x14ac:dyDescent="0.2">
      <c r="B19" s="40" t="s">
        <v>21</v>
      </c>
      <c r="C19" s="15"/>
      <c r="D19" s="40">
        <v>15</v>
      </c>
      <c r="E19" s="53" t="s">
        <v>35</v>
      </c>
      <c r="F19" s="9" t="s">
        <v>29</v>
      </c>
      <c r="G19" s="8">
        <v>28</v>
      </c>
      <c r="H19" s="5">
        <f>2161.5</f>
        <v>2161.5</v>
      </c>
      <c r="I19" s="17">
        <f t="shared" si="2"/>
        <v>60522</v>
      </c>
      <c r="J19" s="17">
        <v>1500</v>
      </c>
      <c r="K19" s="17"/>
      <c r="L19" s="8">
        <v>16</v>
      </c>
      <c r="M19" s="8">
        <v>2</v>
      </c>
      <c r="N19" s="5">
        <v>1250</v>
      </c>
      <c r="O19" s="17">
        <v>50</v>
      </c>
      <c r="P19" s="17">
        <v>131.76</v>
      </c>
      <c r="Q19" s="17">
        <f t="shared" si="0"/>
        <v>37.5</v>
      </c>
      <c r="R19" s="91">
        <f t="shared" si="1"/>
        <v>47016.32</v>
      </c>
      <c r="S19" s="17">
        <v>57000</v>
      </c>
      <c r="T19" s="17">
        <v>1000</v>
      </c>
      <c r="U19" s="17">
        <v>100000</v>
      </c>
      <c r="V19" s="10"/>
      <c r="W19" s="100">
        <f>SUM(R19:V19)+SUM(I19:J19)</f>
        <v>267038.32</v>
      </c>
    </row>
    <row r="20" spans="2:23" ht="15.5" customHeight="1" x14ac:dyDescent="0.2">
      <c r="B20" s="40" t="s">
        <v>128</v>
      </c>
      <c r="C20" s="15"/>
      <c r="D20" s="40">
        <v>16</v>
      </c>
      <c r="E20" s="53" t="s">
        <v>31</v>
      </c>
      <c r="F20" s="9" t="s">
        <v>29</v>
      </c>
      <c r="G20" s="8">
        <v>28</v>
      </c>
      <c r="H20" s="5">
        <v>1923.5</v>
      </c>
      <c r="I20" s="17">
        <f t="shared" si="2"/>
        <v>53858</v>
      </c>
      <c r="J20" s="17">
        <v>1500</v>
      </c>
      <c r="K20" s="17"/>
      <c r="L20" s="8">
        <v>16</v>
      </c>
      <c r="M20" s="8">
        <v>1</v>
      </c>
      <c r="N20" s="5">
        <v>1250</v>
      </c>
      <c r="O20" s="17">
        <v>20</v>
      </c>
      <c r="P20" s="17">
        <v>35</v>
      </c>
      <c r="Q20" s="17">
        <f t="shared" si="0"/>
        <v>37.5</v>
      </c>
      <c r="R20" s="91">
        <f t="shared" si="1"/>
        <v>21480</v>
      </c>
      <c r="S20" s="17">
        <v>50000</v>
      </c>
      <c r="T20" s="17">
        <v>1000</v>
      </c>
      <c r="U20" s="17"/>
      <c r="V20" s="10"/>
      <c r="W20" s="100">
        <f>SUM(R20:V20)+SUM(I20:J20)</f>
        <v>127838</v>
      </c>
    </row>
    <row r="21" spans="2:23" ht="15.5" customHeight="1" x14ac:dyDescent="0.2">
      <c r="B21" s="40" t="s">
        <v>128</v>
      </c>
      <c r="C21" s="51"/>
      <c r="D21" s="52">
        <v>17</v>
      </c>
      <c r="E21" s="53" t="s">
        <v>42</v>
      </c>
      <c r="F21" s="54" t="s">
        <v>30</v>
      </c>
      <c r="G21" s="55">
        <v>31</v>
      </c>
      <c r="H21" s="42">
        <v>352</v>
      </c>
      <c r="I21" s="57">
        <f t="shared" si="2"/>
        <v>10912</v>
      </c>
      <c r="J21" s="57">
        <v>1500</v>
      </c>
      <c r="K21" s="57">
        <v>5104</v>
      </c>
      <c r="L21" s="55"/>
      <c r="M21" s="55"/>
      <c r="N21" s="57"/>
      <c r="O21" s="57"/>
      <c r="P21" s="57"/>
      <c r="Q21" s="57">
        <f t="shared" si="0"/>
        <v>0</v>
      </c>
      <c r="R21" s="57">
        <f t="shared" si="1"/>
        <v>0</v>
      </c>
      <c r="S21" s="57">
        <v>8471.94</v>
      </c>
      <c r="T21" s="57">
        <v>600</v>
      </c>
      <c r="U21" s="57"/>
      <c r="V21" s="88">
        <f>(4*105)+(3*31)</f>
        <v>513</v>
      </c>
      <c r="W21" s="100">
        <f>SUM(R21:V21)+SUM(I21:J21)+K21</f>
        <v>27100.940000000002</v>
      </c>
    </row>
    <row r="22" spans="2:23" ht="24" customHeight="1" x14ac:dyDescent="0.2">
      <c r="G22" s="59" t="s">
        <v>95</v>
      </c>
      <c r="H22" s="60"/>
      <c r="I22" s="60">
        <f>I5+I6+I7+I8+I9+I10+I11+I12+I13+I14+I16+I15+I17+I18+I19+I20+I21</f>
        <v>554856</v>
      </c>
      <c r="J22" s="60">
        <f t="shared" ref="I22:R22" si="4">SUM(J5:J21)</f>
        <v>25500</v>
      </c>
      <c r="K22" s="60"/>
      <c r="L22" s="60"/>
      <c r="M22" s="60"/>
      <c r="N22" s="60"/>
      <c r="O22" s="60"/>
      <c r="P22" s="60"/>
      <c r="Q22" s="60"/>
      <c r="R22" s="60">
        <f t="shared" si="4"/>
        <v>226908.80000000002</v>
      </c>
      <c r="S22" s="60">
        <f>SUM(S5:S21)</f>
        <v>517247.46</v>
      </c>
      <c r="T22" s="60">
        <f>T5+T6+T7+T8+T9+T10+T11+T12+T13+T14+T15+T16+T17+T18+T19+T20</f>
        <v>12400</v>
      </c>
      <c r="U22" s="60">
        <f>SUM(U5:U21)</f>
        <v>622000</v>
      </c>
      <c r="V22" s="60">
        <f>SUM(V5:V21)</f>
        <v>4617</v>
      </c>
      <c r="W22" s="107">
        <f>SUM(W5:W21)</f>
        <v>2004961.2599999998</v>
      </c>
    </row>
    <row r="23" spans="2:23" ht="27" customHeight="1" x14ac:dyDescent="0.2"/>
    <row r="24" spans="2:23" ht="14.25" customHeight="1" x14ac:dyDescent="0.2">
      <c r="C24" s="7" t="s">
        <v>140</v>
      </c>
    </row>
    <row r="25" spans="2:23" ht="14.25" customHeight="1" x14ac:dyDescent="0.2"/>
    <row r="26" spans="2:23" ht="14.25" customHeight="1" x14ac:dyDescent="0.2"/>
    <row r="27" spans="2:23" ht="24" x14ac:dyDescent="0.3">
      <c r="B27" s="145" t="s">
        <v>119</v>
      </c>
      <c r="C27" s="145"/>
      <c r="D27" s="145"/>
      <c r="E27" s="145"/>
      <c r="F27" s="145"/>
      <c r="G27" s="145"/>
      <c r="H27" s="129" t="s">
        <v>44</v>
      </c>
      <c r="I27" s="129"/>
      <c r="J27" s="129"/>
      <c r="K27" s="129"/>
      <c r="L27" s="129"/>
      <c r="M27" s="129"/>
      <c r="N27" s="129"/>
      <c r="O27" s="129"/>
      <c r="P27" s="129"/>
      <c r="Q27" s="129"/>
      <c r="R27" s="129"/>
      <c r="S27" s="129"/>
      <c r="T27" s="129"/>
      <c r="U27" s="129"/>
      <c r="V27" s="116"/>
    </row>
    <row r="28" spans="2:23" ht="21" x14ac:dyDescent="0.25">
      <c r="C28" s="131" t="s">
        <v>53</v>
      </c>
      <c r="D28" s="133" t="s">
        <v>48</v>
      </c>
      <c r="E28" s="135" t="s">
        <v>2</v>
      </c>
      <c r="F28" s="135" t="s">
        <v>3</v>
      </c>
      <c r="G28" s="137" t="s">
        <v>4</v>
      </c>
      <c r="H28" s="139" t="s">
        <v>60</v>
      </c>
      <c r="I28" s="140"/>
      <c r="J28" s="140"/>
      <c r="K28" s="117"/>
      <c r="L28" s="139"/>
      <c r="M28" s="140"/>
      <c r="N28" s="140"/>
      <c r="O28" s="140"/>
      <c r="P28" s="140"/>
      <c r="Q28" s="140"/>
      <c r="R28" s="140"/>
      <c r="S28" s="140"/>
      <c r="T28" s="140"/>
      <c r="U28" s="141"/>
      <c r="V28" s="44" t="s">
        <v>83</v>
      </c>
    </row>
    <row r="29" spans="2:23" s="14" customFormat="1" ht="72.5" customHeight="1" x14ac:dyDescent="0.2">
      <c r="C29" s="131"/>
      <c r="D29" s="133"/>
      <c r="E29" s="135"/>
      <c r="F29" s="135"/>
      <c r="G29" s="137"/>
      <c r="H29" s="50" t="s">
        <v>99</v>
      </c>
      <c r="I29" s="43" t="s">
        <v>52</v>
      </c>
      <c r="J29" s="43" t="s">
        <v>62</v>
      </c>
      <c r="K29" s="43"/>
      <c r="L29" s="50" t="s">
        <v>11</v>
      </c>
      <c r="M29" s="50" t="s">
        <v>12</v>
      </c>
      <c r="N29" s="50" t="s">
        <v>13</v>
      </c>
      <c r="O29" s="50" t="s">
        <v>14</v>
      </c>
      <c r="P29" s="50" t="s">
        <v>15</v>
      </c>
      <c r="Q29" s="50" t="s">
        <v>16</v>
      </c>
      <c r="R29" s="43" t="s">
        <v>18</v>
      </c>
      <c r="S29" s="43" t="s">
        <v>100</v>
      </c>
      <c r="T29" s="43" t="s">
        <v>20</v>
      </c>
      <c r="U29" s="43" t="s">
        <v>21</v>
      </c>
      <c r="V29" s="43" t="s">
        <v>27</v>
      </c>
      <c r="W29" s="101" t="s">
        <v>96</v>
      </c>
    </row>
    <row r="30" spans="2:23" ht="15.5" customHeight="1" x14ac:dyDescent="0.2">
      <c r="B30" s="128" t="s">
        <v>139</v>
      </c>
      <c r="C30" s="51"/>
      <c r="D30" s="52"/>
      <c r="E30" s="53"/>
      <c r="F30" s="54" t="s">
        <v>30</v>
      </c>
      <c r="G30" s="55"/>
      <c r="H30" s="5"/>
      <c r="I30" s="85">
        <f>H30*G30</f>
        <v>0</v>
      </c>
      <c r="J30" s="86">
        <v>1500</v>
      </c>
      <c r="K30" s="86"/>
      <c r="L30" s="55"/>
      <c r="M30" s="55"/>
      <c r="N30" s="86"/>
      <c r="O30" s="55"/>
      <c r="P30" s="86"/>
      <c r="Q30" s="86"/>
      <c r="R30" s="86"/>
      <c r="S30" s="86"/>
      <c r="T30" s="86"/>
      <c r="U30" s="55"/>
      <c r="V30" s="88">
        <f>(4*105)+(3*31)</f>
        <v>513</v>
      </c>
      <c r="W30" s="100">
        <f>SUM(R30:V30)+SUM(I30:J30)</f>
        <v>2013</v>
      </c>
    </row>
    <row r="31" spans="2:23" ht="15.5" customHeight="1" x14ac:dyDescent="0.2">
      <c r="B31" s="128"/>
      <c r="C31" s="15"/>
      <c r="D31" s="32"/>
      <c r="E31" s="16"/>
      <c r="F31" s="9" t="s">
        <v>29</v>
      </c>
      <c r="G31" s="8">
        <v>30</v>
      </c>
      <c r="H31" s="5">
        <v>771</v>
      </c>
      <c r="I31" s="17">
        <f>H31*G31*5</f>
        <v>115650</v>
      </c>
      <c r="J31" s="17">
        <v>1500</v>
      </c>
      <c r="K31" s="17"/>
      <c r="L31" s="8">
        <v>16</v>
      </c>
      <c r="M31" s="118">
        <v>5</v>
      </c>
      <c r="N31" s="119">
        <v>1250</v>
      </c>
      <c r="O31" s="17">
        <v>50</v>
      </c>
      <c r="P31" s="17">
        <v>90</v>
      </c>
      <c r="Q31" s="91">
        <f>SUM(N7:P7)*L7*M7</f>
        <v>0</v>
      </c>
      <c r="R31" s="17">
        <f>N31*5*16</f>
        <v>100000</v>
      </c>
      <c r="S31" s="17">
        <v>170000</v>
      </c>
      <c r="T31" s="17"/>
      <c r="U31" s="10">
        <v>110000</v>
      </c>
      <c r="V31" s="120"/>
      <c r="W31" s="100">
        <f>U31+S31+R31+I31</f>
        <v>495650</v>
      </c>
    </row>
    <row r="32" spans="2:23" ht="15.5" customHeight="1" x14ac:dyDescent="0.2">
      <c r="B32" s="128"/>
      <c r="C32" s="51"/>
      <c r="D32" s="52"/>
      <c r="E32" s="53"/>
      <c r="F32" s="54" t="s">
        <v>30</v>
      </c>
      <c r="G32" s="55"/>
      <c r="H32" s="57"/>
      <c r="I32" s="57">
        <f>H32*G32</f>
        <v>0</v>
      </c>
      <c r="J32" s="57">
        <v>1500</v>
      </c>
      <c r="K32" s="57"/>
      <c r="L32" s="55"/>
      <c r="M32" s="55"/>
      <c r="N32" s="57"/>
      <c r="O32" s="57"/>
      <c r="P32" s="57"/>
      <c r="Q32" s="57"/>
      <c r="R32" s="57"/>
      <c r="S32" s="57"/>
      <c r="T32" s="57"/>
      <c r="U32" s="57"/>
      <c r="V32" s="88">
        <f>(4*105)+(3*31)</f>
        <v>513</v>
      </c>
      <c r="W32" s="100">
        <f>SUM(R32:V32)+SUM(I32:J32)</f>
        <v>2013</v>
      </c>
    </row>
    <row r="33" spans="3:23" s="87" customFormat="1" ht="14.25" customHeight="1" x14ac:dyDescent="0.2">
      <c r="G33" s="98"/>
      <c r="H33" s="98"/>
      <c r="I33" s="98"/>
      <c r="J33" s="98">
        <f>SUM(J30:J32)</f>
        <v>4500</v>
      </c>
      <c r="K33" s="98"/>
      <c r="L33" s="98"/>
      <c r="M33" s="98"/>
      <c r="N33" s="98"/>
      <c r="O33" s="98"/>
      <c r="P33" s="98"/>
      <c r="Q33" s="98"/>
      <c r="R33" s="98"/>
      <c r="S33" s="98">
        <f>SUM(S30:S32)</f>
        <v>170000</v>
      </c>
      <c r="T33" s="98">
        <f>SUM(T30:T32)</f>
        <v>0</v>
      </c>
      <c r="U33" s="98">
        <f>SUM(U30:U32)</f>
        <v>110000</v>
      </c>
      <c r="V33" s="98">
        <f>SUM(V30:V32)</f>
        <v>1026</v>
      </c>
      <c r="W33" s="98">
        <f>SUM(W30:W32)</f>
        <v>499676</v>
      </c>
    </row>
    <row r="34" spans="3:23" ht="14.25" customHeight="1" x14ac:dyDescent="0.2"/>
    <row r="35" spans="3:23" ht="14.25" customHeight="1" x14ac:dyDescent="0.2"/>
    <row r="36" spans="3:23" ht="14.25" customHeight="1" x14ac:dyDescent="0.2">
      <c r="C36" s="122" t="s">
        <v>142</v>
      </c>
    </row>
    <row r="37" spans="3:23" ht="14.25" customHeight="1" x14ac:dyDescent="0.2">
      <c r="C37" s="123">
        <f>12544.08*2</f>
        <v>25088.16</v>
      </c>
    </row>
    <row r="38" spans="3:23" ht="14.25" customHeight="1" x14ac:dyDescent="0.2"/>
    <row r="39" spans="3:23" ht="14.25" customHeight="1" x14ac:dyDescent="0.2"/>
    <row r="40" spans="3:23" ht="14.25" customHeight="1" x14ac:dyDescent="0.2"/>
    <row r="41" spans="3:23" ht="14.25" customHeight="1" x14ac:dyDescent="0.2"/>
    <row r="42" spans="3:23" ht="14.25" customHeight="1" x14ac:dyDescent="0.2"/>
    <row r="43" spans="3:23" ht="14.25" customHeight="1" x14ac:dyDescent="0.2"/>
    <row r="44" spans="3:23" ht="14.25" customHeight="1" x14ac:dyDescent="0.2"/>
    <row r="45" spans="3:23" ht="14.25" customHeight="1" x14ac:dyDescent="0.2"/>
    <row r="46" spans="3:23" ht="14.25" customHeight="1" x14ac:dyDescent="0.2"/>
    <row r="47" spans="3:23" ht="14.25" customHeight="1" x14ac:dyDescent="0.2"/>
    <row r="48" spans="3:23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</sheetData>
  <mergeCells count="21">
    <mergeCell ref="B30:B32"/>
    <mergeCell ref="H2:U2"/>
    <mergeCell ref="G3:G4"/>
    <mergeCell ref="H3:J3"/>
    <mergeCell ref="L3:R3"/>
    <mergeCell ref="B2:G2"/>
    <mergeCell ref="E3:E4"/>
    <mergeCell ref="F3:F4"/>
    <mergeCell ref="S3:U3"/>
    <mergeCell ref="C3:C4"/>
    <mergeCell ref="D3:D4"/>
    <mergeCell ref="H28:J28"/>
    <mergeCell ref="L28:R28"/>
    <mergeCell ref="S28:U28"/>
    <mergeCell ref="B27:G27"/>
    <mergeCell ref="H27:U27"/>
    <mergeCell ref="C28:C29"/>
    <mergeCell ref="D28:D29"/>
    <mergeCell ref="E28:E29"/>
    <mergeCell ref="F28:F29"/>
    <mergeCell ref="G28:G29"/>
  </mergeCells>
  <pageMargins left="0.7" right="0.7" top="0.75" bottom="0.75" header="0.3" footer="0.3"/>
  <pageSetup paperSize="9" orientation="portrait" r:id="rId1"/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9D3163-A261-4FD5-88BD-9806F878ECD7}">
  <dimension ref="A1:W955"/>
  <sheetViews>
    <sheetView showGridLines="0" topLeftCell="D2" zoomScale="80" zoomScaleNormal="80" workbookViewId="0">
      <selection activeCell="H13" sqref="H13"/>
    </sheetView>
  </sheetViews>
  <sheetFormatPr baseColWidth="10" defaultColWidth="13.83203125" defaultRowHeight="16" x14ac:dyDescent="0.2"/>
  <cols>
    <col min="1" max="1" width="3.6640625" style="7" customWidth="1"/>
    <col min="2" max="2" width="14.33203125" style="7" customWidth="1"/>
    <col min="3" max="3" width="18" style="7" customWidth="1"/>
    <col min="4" max="4" width="13.6640625" style="7" customWidth="1"/>
    <col min="5" max="5" width="33.83203125" style="7" customWidth="1"/>
    <col min="6" max="6" width="15.33203125" style="7" customWidth="1"/>
    <col min="7" max="7" width="17.6640625" style="7" bestFit="1" customWidth="1"/>
    <col min="8" max="11" width="15.33203125" style="7" customWidth="1"/>
    <col min="12" max="12" width="13.33203125" style="7" customWidth="1"/>
    <col min="13" max="17" width="15.33203125" style="7" customWidth="1"/>
    <col min="18" max="18" width="15.33203125" style="7" hidden="1" customWidth="1"/>
    <col min="19" max="22" width="15.33203125" style="7" customWidth="1"/>
    <col min="23" max="23" width="15.5" style="7" bestFit="1" customWidth="1"/>
    <col min="24" max="16384" width="13.83203125" style="7"/>
  </cols>
  <sheetData>
    <row r="1" spans="2:23" ht="14.25" customHeight="1" x14ac:dyDescent="0.2"/>
    <row r="2" spans="2:23" ht="24" x14ac:dyDescent="0.3">
      <c r="B2" s="145" t="s">
        <v>120</v>
      </c>
      <c r="C2" s="145"/>
      <c r="D2" s="145"/>
      <c r="E2" s="145"/>
      <c r="F2" s="145"/>
      <c r="G2" s="145"/>
      <c r="H2" s="129" t="s">
        <v>44</v>
      </c>
      <c r="I2" s="129"/>
      <c r="J2" s="129"/>
      <c r="K2" s="129"/>
      <c r="L2" s="129"/>
      <c r="M2" s="129"/>
      <c r="N2" s="129"/>
      <c r="O2" s="129"/>
      <c r="P2" s="129"/>
      <c r="Q2" s="129"/>
      <c r="R2" s="129"/>
      <c r="S2" s="129"/>
      <c r="T2" s="129"/>
      <c r="U2" s="129"/>
      <c r="V2" s="116"/>
    </row>
    <row r="3" spans="2:23" ht="21" x14ac:dyDescent="0.25">
      <c r="C3" s="146" t="s">
        <v>121</v>
      </c>
      <c r="D3" s="133" t="s">
        <v>48</v>
      </c>
      <c r="E3" s="135" t="s">
        <v>2</v>
      </c>
      <c r="F3" s="135" t="s">
        <v>3</v>
      </c>
      <c r="G3" s="137" t="s">
        <v>4</v>
      </c>
      <c r="H3" s="139" t="s">
        <v>60</v>
      </c>
      <c r="I3" s="140"/>
      <c r="J3" s="140"/>
      <c r="K3" s="117"/>
      <c r="L3" s="139" t="s">
        <v>1</v>
      </c>
      <c r="M3" s="140"/>
      <c r="N3" s="140"/>
      <c r="O3" s="140"/>
      <c r="P3" s="140"/>
      <c r="Q3" s="140"/>
      <c r="R3" s="140"/>
      <c r="S3" s="140"/>
      <c r="T3" s="140"/>
      <c r="U3" s="141"/>
      <c r="V3" s="44" t="s">
        <v>83</v>
      </c>
    </row>
    <row r="4" spans="2:23" s="14" customFormat="1" ht="72.5" customHeight="1" x14ac:dyDescent="0.2">
      <c r="C4" s="146"/>
      <c r="D4" s="133"/>
      <c r="E4" s="135"/>
      <c r="F4" s="135"/>
      <c r="G4" s="137"/>
      <c r="H4" s="50" t="s">
        <v>99</v>
      </c>
      <c r="I4" s="43" t="s">
        <v>52</v>
      </c>
      <c r="J4" s="43" t="s">
        <v>62</v>
      </c>
      <c r="K4" s="43" t="s">
        <v>137</v>
      </c>
      <c r="L4" s="50" t="s">
        <v>11</v>
      </c>
      <c r="M4" s="50" t="s">
        <v>12</v>
      </c>
      <c r="N4" s="50" t="s">
        <v>13</v>
      </c>
      <c r="O4" s="50" t="s">
        <v>15</v>
      </c>
      <c r="P4" s="50" t="s">
        <v>16</v>
      </c>
      <c r="Q4" s="43" t="s">
        <v>18</v>
      </c>
      <c r="R4" s="43" t="s">
        <v>100</v>
      </c>
      <c r="S4" s="43" t="s">
        <v>100</v>
      </c>
      <c r="T4" s="43" t="s">
        <v>20</v>
      </c>
      <c r="U4" s="43" t="s">
        <v>21</v>
      </c>
      <c r="V4" s="43" t="s">
        <v>27</v>
      </c>
      <c r="W4" s="101" t="s">
        <v>96</v>
      </c>
    </row>
    <row r="5" spans="2:23" ht="15.5" customHeight="1" x14ac:dyDescent="0.2">
      <c r="B5" s="40" t="s">
        <v>125</v>
      </c>
      <c r="C5" s="51"/>
      <c r="D5" s="52">
        <v>1</v>
      </c>
      <c r="E5" s="53" t="s">
        <v>51</v>
      </c>
      <c r="F5" s="54" t="s">
        <v>29</v>
      </c>
      <c r="G5" s="55">
        <v>28</v>
      </c>
      <c r="H5" s="5">
        <v>351.9</v>
      </c>
      <c r="I5" s="85">
        <f>H5*28</f>
        <v>9853.1999999999989</v>
      </c>
      <c r="J5" s="86">
        <v>1500</v>
      </c>
      <c r="K5" s="86">
        <v>5104</v>
      </c>
      <c r="L5" s="55">
        <v>0</v>
      </c>
      <c r="M5" s="55">
        <v>0</v>
      </c>
      <c r="N5" s="86">
        <v>0</v>
      </c>
      <c r="O5" s="86"/>
      <c r="P5" s="86"/>
      <c r="Q5" s="86"/>
      <c r="R5" s="86">
        <f>7000-0.16</f>
        <v>6999.84</v>
      </c>
      <c r="S5" s="86">
        <f t="shared" ref="S5:S21" si="0">R5*(16%)-R5</f>
        <v>-5879.8656000000001</v>
      </c>
      <c r="T5" s="86">
        <v>600</v>
      </c>
      <c r="U5" s="55"/>
      <c r="V5" s="88"/>
      <c r="W5" s="100">
        <f>T5+R5+J5+I5+K5</f>
        <v>24057.040000000001</v>
      </c>
    </row>
    <row r="6" spans="2:23" ht="15.5" customHeight="1" x14ac:dyDescent="0.2">
      <c r="B6" s="40" t="s">
        <v>128</v>
      </c>
      <c r="C6" s="15"/>
      <c r="D6" s="32">
        <v>2</v>
      </c>
      <c r="E6" s="53" t="s">
        <v>34</v>
      </c>
      <c r="F6" s="9" t="s">
        <v>30</v>
      </c>
      <c r="G6" s="8">
        <v>31</v>
      </c>
      <c r="H6" s="5">
        <v>352</v>
      </c>
      <c r="I6" s="17">
        <f>H6*G6</f>
        <v>10912</v>
      </c>
      <c r="J6" s="17">
        <v>1500</v>
      </c>
      <c r="K6" s="17">
        <v>5104</v>
      </c>
      <c r="L6" s="8">
        <v>0</v>
      </c>
      <c r="M6" s="8">
        <v>0</v>
      </c>
      <c r="N6" s="5">
        <v>0</v>
      </c>
      <c r="O6" s="17"/>
      <c r="P6" s="17">
        <f>N6*0.03</f>
        <v>0</v>
      </c>
      <c r="Q6" s="91">
        <f>SUM(N6:P6)*L6*M6</f>
        <v>0</v>
      </c>
      <c r="R6" s="17">
        <v>45000</v>
      </c>
      <c r="S6" s="86">
        <f t="shared" si="0"/>
        <v>-37800</v>
      </c>
      <c r="T6" s="17">
        <v>1000</v>
      </c>
      <c r="U6" s="17"/>
      <c r="V6" s="10">
        <v>513</v>
      </c>
      <c r="W6" s="100">
        <f>V6+T6+R6+K6+J6+I6</f>
        <v>64029</v>
      </c>
    </row>
    <row r="7" spans="2:23" ht="15.5" customHeight="1" x14ac:dyDescent="0.2">
      <c r="B7" s="40" t="s">
        <v>21</v>
      </c>
      <c r="C7" s="51"/>
      <c r="D7" s="52">
        <v>3</v>
      </c>
      <c r="E7" s="53" t="s">
        <v>32</v>
      </c>
      <c r="F7" s="54" t="s">
        <v>29</v>
      </c>
      <c r="G7" s="55">
        <v>28</v>
      </c>
      <c r="H7" s="5">
        <v>1923.5</v>
      </c>
      <c r="I7" s="57">
        <f>H7*G7</f>
        <v>53858</v>
      </c>
      <c r="J7" s="57">
        <v>1500</v>
      </c>
      <c r="K7" s="57"/>
      <c r="L7" s="55">
        <v>16</v>
      </c>
      <c r="M7" s="55">
        <v>1</v>
      </c>
      <c r="N7" s="5">
        <v>1250</v>
      </c>
      <c r="O7" s="57">
        <v>50</v>
      </c>
      <c r="P7" s="57">
        <f>N7*0.045</f>
        <v>56.25</v>
      </c>
      <c r="Q7" s="57">
        <f>SUM(N7:P7)*L7*M7</f>
        <v>21700</v>
      </c>
      <c r="R7" s="57">
        <v>65000</v>
      </c>
      <c r="S7" s="86">
        <f t="shared" si="0"/>
        <v>-54600</v>
      </c>
      <c r="T7" s="57">
        <v>600</v>
      </c>
      <c r="U7" s="57">
        <v>110000</v>
      </c>
      <c r="V7" s="88">
        <v>0</v>
      </c>
      <c r="W7" s="100">
        <f>U7+T7+R7+Q7+J7+I7</f>
        <v>252658</v>
      </c>
    </row>
    <row r="8" spans="2:23" ht="15.5" customHeight="1" x14ac:dyDescent="0.2">
      <c r="B8" s="40" t="s">
        <v>127</v>
      </c>
      <c r="C8" s="8"/>
      <c r="D8" s="32">
        <v>4</v>
      </c>
      <c r="E8" s="53" t="s">
        <v>84</v>
      </c>
      <c r="F8" s="9" t="s">
        <v>30</v>
      </c>
      <c r="G8" s="8">
        <v>31</v>
      </c>
      <c r="H8" s="5">
        <v>352</v>
      </c>
      <c r="I8" s="17">
        <f t="shared" ref="I8:I21" si="1">H8*G8</f>
        <v>10912</v>
      </c>
      <c r="J8" s="17">
        <v>1500</v>
      </c>
      <c r="K8" s="17">
        <v>5104</v>
      </c>
      <c r="L8" s="8">
        <v>0</v>
      </c>
      <c r="M8" s="7">
        <v>0</v>
      </c>
      <c r="N8" s="5">
        <v>0</v>
      </c>
      <c r="O8" s="17"/>
      <c r="P8" s="57">
        <f t="shared" ref="P8:P21" si="2">N8*0.045</f>
        <v>0</v>
      </c>
      <c r="Q8" s="91">
        <f>SUM(N8:P8)*L8*M8</f>
        <v>0</v>
      </c>
      <c r="R8" s="17">
        <v>7000</v>
      </c>
      <c r="S8" s="86">
        <f t="shared" si="0"/>
        <v>-5880</v>
      </c>
      <c r="T8" s="17">
        <v>1000</v>
      </c>
      <c r="U8" s="17"/>
      <c r="V8" s="10">
        <v>513</v>
      </c>
      <c r="W8" s="100">
        <f>V8+T8+R8+K8+J8+I8</f>
        <v>26029</v>
      </c>
    </row>
    <row r="9" spans="2:23" ht="15.5" customHeight="1" x14ac:dyDescent="0.2">
      <c r="B9" s="40" t="s">
        <v>129</v>
      </c>
      <c r="C9" s="51"/>
      <c r="D9" s="56">
        <v>5</v>
      </c>
      <c r="E9" s="53" t="s">
        <v>43</v>
      </c>
      <c r="F9" s="54" t="s">
        <v>29</v>
      </c>
      <c r="G9" s="55">
        <v>28</v>
      </c>
      <c r="H9" s="5">
        <v>1870</v>
      </c>
      <c r="I9" s="57">
        <f t="shared" si="1"/>
        <v>52360</v>
      </c>
      <c r="J9" s="57">
        <v>1500</v>
      </c>
      <c r="K9" s="57"/>
      <c r="L9" s="55">
        <v>16</v>
      </c>
      <c r="M9" s="55">
        <v>1</v>
      </c>
      <c r="N9" s="57">
        <v>1250</v>
      </c>
      <c r="O9" s="57">
        <v>50</v>
      </c>
      <c r="P9" s="57">
        <f t="shared" si="2"/>
        <v>56.25</v>
      </c>
      <c r="Q9" s="57">
        <f>SUM(N9:P9)*L9*M9</f>
        <v>21700</v>
      </c>
      <c r="R9" s="57">
        <v>57000</v>
      </c>
      <c r="S9" s="86">
        <f t="shared" si="0"/>
        <v>-47880</v>
      </c>
      <c r="T9" s="57">
        <v>600</v>
      </c>
      <c r="U9" s="57"/>
      <c r="V9" s="88">
        <v>0</v>
      </c>
      <c r="W9" s="100">
        <f>SUM(Q9:V9)+SUM(I9:J9)</f>
        <v>85280</v>
      </c>
    </row>
    <row r="10" spans="2:23" ht="15.5" customHeight="1" x14ac:dyDescent="0.2">
      <c r="B10" s="40" t="s">
        <v>127</v>
      </c>
      <c r="C10" s="15"/>
      <c r="D10" s="32">
        <v>6</v>
      </c>
      <c r="E10" s="53" t="s">
        <v>36</v>
      </c>
      <c r="F10" s="9" t="s">
        <v>30</v>
      </c>
      <c r="G10" s="8">
        <v>31</v>
      </c>
      <c r="H10" s="5">
        <v>352</v>
      </c>
      <c r="I10" s="17">
        <f t="shared" si="1"/>
        <v>10912</v>
      </c>
      <c r="J10" s="17">
        <v>1500</v>
      </c>
      <c r="K10" s="17">
        <v>5104</v>
      </c>
      <c r="L10" s="8">
        <v>0</v>
      </c>
      <c r="M10" s="8">
        <v>0</v>
      </c>
      <c r="N10" s="5">
        <v>0</v>
      </c>
      <c r="O10" s="17"/>
      <c r="P10" s="57">
        <f t="shared" si="2"/>
        <v>0</v>
      </c>
      <c r="Q10" s="91"/>
      <c r="R10" s="17">
        <v>7000</v>
      </c>
      <c r="S10" s="86">
        <f t="shared" si="0"/>
        <v>-5880</v>
      </c>
      <c r="T10" s="17">
        <v>1000</v>
      </c>
      <c r="U10" s="17"/>
      <c r="V10" s="10">
        <v>513</v>
      </c>
      <c r="W10" s="100">
        <f>V10+T10+R10+K10+J10+I10</f>
        <v>26029</v>
      </c>
    </row>
    <row r="11" spans="2:23" ht="15.5" customHeight="1" x14ac:dyDescent="0.2">
      <c r="B11" s="40" t="s">
        <v>127</v>
      </c>
      <c r="C11" s="15"/>
      <c r="D11" s="32">
        <v>7</v>
      </c>
      <c r="E11" s="53" t="s">
        <v>38</v>
      </c>
      <c r="F11" s="9" t="s">
        <v>30</v>
      </c>
      <c r="G11" s="8">
        <v>31</v>
      </c>
      <c r="H11" s="5">
        <v>352</v>
      </c>
      <c r="I11" s="17">
        <f t="shared" si="1"/>
        <v>10912</v>
      </c>
      <c r="J11" s="17">
        <v>1500</v>
      </c>
      <c r="K11" s="17">
        <v>5104</v>
      </c>
      <c r="L11" s="8">
        <v>0</v>
      </c>
      <c r="M11" s="7">
        <v>0</v>
      </c>
      <c r="N11" s="5">
        <v>0</v>
      </c>
      <c r="O11" s="17"/>
      <c r="P11" s="57">
        <f t="shared" si="2"/>
        <v>0</v>
      </c>
      <c r="Q11" s="91">
        <f t="shared" ref="Q11:Q21" si="3">SUM(N11:P11)*L11*M11</f>
        <v>0</v>
      </c>
      <c r="R11" s="17">
        <v>7000</v>
      </c>
      <c r="S11" s="86">
        <f t="shared" si="0"/>
        <v>-5880</v>
      </c>
      <c r="T11" s="17">
        <v>600</v>
      </c>
      <c r="U11" s="17"/>
      <c r="V11" s="10">
        <v>513</v>
      </c>
      <c r="W11" s="100">
        <f>V11+T11+R11+K11+J11+I11</f>
        <v>25629</v>
      </c>
    </row>
    <row r="12" spans="2:23" ht="15.5" customHeight="1" x14ac:dyDescent="0.2">
      <c r="B12" s="40" t="s">
        <v>127</v>
      </c>
      <c r="C12" s="51"/>
      <c r="D12" s="52">
        <v>8</v>
      </c>
      <c r="E12" s="53" t="s">
        <v>122</v>
      </c>
      <c r="F12" s="54" t="s">
        <v>29</v>
      </c>
      <c r="G12" s="55">
        <v>28</v>
      </c>
      <c r="H12" s="5">
        <v>1870</v>
      </c>
      <c r="I12" s="57">
        <f t="shared" si="1"/>
        <v>52360</v>
      </c>
      <c r="J12" s="57">
        <v>1500</v>
      </c>
      <c r="K12" s="57"/>
      <c r="L12" s="55">
        <v>16</v>
      </c>
      <c r="M12" s="55">
        <v>1</v>
      </c>
      <c r="N12" s="57">
        <v>1250</v>
      </c>
      <c r="O12" s="57">
        <v>50</v>
      </c>
      <c r="P12" s="57">
        <f t="shared" si="2"/>
        <v>56.25</v>
      </c>
      <c r="Q12" s="57">
        <f t="shared" si="3"/>
        <v>21700</v>
      </c>
      <c r="R12" s="57">
        <v>65000</v>
      </c>
      <c r="S12" s="86">
        <f t="shared" si="0"/>
        <v>-54600</v>
      </c>
      <c r="T12" s="57">
        <v>1000</v>
      </c>
      <c r="U12" s="57"/>
      <c r="V12" s="88">
        <v>0</v>
      </c>
      <c r="W12" s="100">
        <f>T12+R12+Q12+J12+I12</f>
        <v>141560</v>
      </c>
    </row>
    <row r="13" spans="2:23" ht="15.5" customHeight="1" x14ac:dyDescent="0.2">
      <c r="B13" s="40" t="s">
        <v>21</v>
      </c>
      <c r="C13" s="51"/>
      <c r="D13" s="52">
        <v>9</v>
      </c>
      <c r="E13" s="53" t="s">
        <v>39</v>
      </c>
      <c r="F13" s="54" t="s">
        <v>29</v>
      </c>
      <c r="G13" s="55">
        <v>28</v>
      </c>
      <c r="H13" s="5">
        <v>2573.3000000000002</v>
      </c>
      <c r="I13" s="57">
        <f t="shared" si="1"/>
        <v>72052.400000000009</v>
      </c>
      <c r="J13" s="57">
        <v>1500</v>
      </c>
      <c r="K13" s="57"/>
      <c r="L13" s="55">
        <v>16</v>
      </c>
      <c r="M13" s="55">
        <v>2</v>
      </c>
      <c r="N13" s="57">
        <v>1250</v>
      </c>
      <c r="O13" s="57">
        <v>50</v>
      </c>
      <c r="P13" s="57">
        <f t="shared" si="2"/>
        <v>56.25</v>
      </c>
      <c r="Q13" s="57">
        <f t="shared" si="3"/>
        <v>43400</v>
      </c>
      <c r="R13" s="57">
        <v>65000</v>
      </c>
      <c r="S13" s="86">
        <f t="shared" si="0"/>
        <v>-54600</v>
      </c>
      <c r="T13" s="57">
        <v>600</v>
      </c>
      <c r="U13" s="57">
        <v>110000</v>
      </c>
      <c r="V13" s="88">
        <v>0</v>
      </c>
      <c r="W13" s="100">
        <f>SUM(Q13:V13)+SUM(I13:J13)</f>
        <v>237952.40000000002</v>
      </c>
    </row>
    <row r="14" spans="2:23" ht="15.5" customHeight="1" x14ac:dyDescent="0.2">
      <c r="B14" s="40" t="s">
        <v>127</v>
      </c>
      <c r="C14" s="15"/>
      <c r="D14" s="40">
        <v>10</v>
      </c>
      <c r="E14" s="53" t="s">
        <v>37</v>
      </c>
      <c r="F14" s="9" t="s">
        <v>30</v>
      </c>
      <c r="G14" s="8">
        <v>31</v>
      </c>
      <c r="H14" s="5">
        <v>352</v>
      </c>
      <c r="I14" s="17">
        <f t="shared" si="1"/>
        <v>10912</v>
      </c>
      <c r="J14" s="17">
        <v>1500</v>
      </c>
      <c r="K14" s="17">
        <v>5104</v>
      </c>
      <c r="L14" s="8">
        <v>0</v>
      </c>
      <c r="M14" s="8">
        <v>0</v>
      </c>
      <c r="N14" s="5">
        <v>0</v>
      </c>
      <c r="O14" s="17">
        <v>0</v>
      </c>
      <c r="P14" s="57">
        <f t="shared" si="2"/>
        <v>0</v>
      </c>
      <c r="Q14" s="91">
        <f t="shared" si="3"/>
        <v>0</v>
      </c>
      <c r="R14" s="17">
        <v>7000</v>
      </c>
      <c r="S14" s="86">
        <f t="shared" si="0"/>
        <v>-5880</v>
      </c>
      <c r="T14" s="17">
        <v>1000</v>
      </c>
      <c r="U14" s="17"/>
      <c r="V14" s="10">
        <v>513</v>
      </c>
      <c r="W14" s="100">
        <f>V14+T14+R14+K14+J14+I14</f>
        <v>26029</v>
      </c>
    </row>
    <row r="15" spans="2:23" ht="15.5" customHeight="1" x14ac:dyDescent="0.2">
      <c r="B15" s="40" t="s">
        <v>127</v>
      </c>
      <c r="C15" s="51"/>
      <c r="D15" s="52">
        <v>11</v>
      </c>
      <c r="E15" s="53" t="s">
        <v>123</v>
      </c>
      <c r="F15" s="54" t="s">
        <v>29</v>
      </c>
      <c r="G15" s="55">
        <v>28</v>
      </c>
      <c r="H15" s="5">
        <f>2530.92</f>
        <v>2530.92</v>
      </c>
      <c r="I15" s="57">
        <f t="shared" si="1"/>
        <v>70865.760000000009</v>
      </c>
      <c r="J15" s="57">
        <v>1500</v>
      </c>
      <c r="K15" s="57"/>
      <c r="L15" s="55">
        <v>16</v>
      </c>
      <c r="M15" s="55">
        <v>1</v>
      </c>
      <c r="N15" s="57">
        <v>1250</v>
      </c>
      <c r="O15" s="57">
        <v>50</v>
      </c>
      <c r="P15" s="57">
        <f t="shared" si="2"/>
        <v>56.25</v>
      </c>
      <c r="Q15" s="57">
        <f t="shared" si="3"/>
        <v>21700</v>
      </c>
      <c r="R15" s="57">
        <v>65000</v>
      </c>
      <c r="S15" s="86">
        <f t="shared" si="0"/>
        <v>-54600</v>
      </c>
      <c r="T15" s="57">
        <v>600</v>
      </c>
      <c r="U15" s="57"/>
      <c r="V15" s="88">
        <v>0</v>
      </c>
      <c r="W15" s="100">
        <f>T15+R15+Q15+J15+I15</f>
        <v>159665.76</v>
      </c>
    </row>
    <row r="16" spans="2:23" ht="15.5" customHeight="1" x14ac:dyDescent="0.2">
      <c r="B16" s="40" t="s">
        <v>127</v>
      </c>
      <c r="C16" s="15"/>
      <c r="D16" s="40">
        <v>12</v>
      </c>
      <c r="E16" s="53" t="s">
        <v>28</v>
      </c>
      <c r="F16" s="9" t="s">
        <v>30</v>
      </c>
      <c r="G16" s="8">
        <v>31</v>
      </c>
      <c r="H16" s="5">
        <v>352</v>
      </c>
      <c r="I16" s="17">
        <f t="shared" si="1"/>
        <v>10912</v>
      </c>
      <c r="J16" s="17">
        <v>1500</v>
      </c>
      <c r="K16" s="17">
        <v>5104</v>
      </c>
      <c r="L16" s="8">
        <v>0</v>
      </c>
      <c r="M16" s="8">
        <v>0</v>
      </c>
      <c r="N16" s="5">
        <v>0</v>
      </c>
      <c r="O16" s="17"/>
      <c r="P16" s="57">
        <f t="shared" si="2"/>
        <v>0</v>
      </c>
      <c r="Q16" s="91">
        <f t="shared" si="3"/>
        <v>0</v>
      </c>
      <c r="R16" s="17">
        <v>7000</v>
      </c>
      <c r="S16" s="86">
        <f t="shared" si="0"/>
        <v>-5880</v>
      </c>
      <c r="T16" s="17">
        <v>1000</v>
      </c>
      <c r="U16" s="17"/>
      <c r="V16" s="10">
        <v>513</v>
      </c>
      <c r="W16" s="100">
        <f>V16+T16+R16+K16+J16+I16</f>
        <v>26029</v>
      </c>
    </row>
    <row r="17" spans="2:23" ht="15.5" customHeight="1" x14ac:dyDescent="0.2">
      <c r="B17" s="40" t="s">
        <v>127</v>
      </c>
      <c r="C17" s="51"/>
      <c r="D17" s="52">
        <v>13</v>
      </c>
      <c r="E17" s="53" t="s">
        <v>41</v>
      </c>
      <c r="F17" s="54" t="s">
        <v>29</v>
      </c>
      <c r="G17" s="55">
        <v>28</v>
      </c>
      <c r="H17" s="5">
        <f>2161.5</f>
        <v>2161.5</v>
      </c>
      <c r="I17" s="57">
        <f t="shared" si="1"/>
        <v>60522</v>
      </c>
      <c r="J17" s="57">
        <v>1500</v>
      </c>
      <c r="K17" s="57"/>
      <c r="L17" s="55">
        <v>16</v>
      </c>
      <c r="M17" s="55">
        <v>1</v>
      </c>
      <c r="N17" s="57">
        <v>1250</v>
      </c>
      <c r="O17" s="57">
        <v>50</v>
      </c>
      <c r="P17" s="57">
        <f t="shared" si="2"/>
        <v>56.25</v>
      </c>
      <c r="Q17" s="57">
        <f t="shared" si="3"/>
        <v>21700</v>
      </c>
      <c r="R17" s="57">
        <v>65000</v>
      </c>
      <c r="S17" s="86">
        <f t="shared" si="0"/>
        <v>-54600</v>
      </c>
      <c r="T17" s="57">
        <v>600</v>
      </c>
      <c r="U17" s="57"/>
      <c r="V17" s="88">
        <v>0</v>
      </c>
      <c r="W17" s="100">
        <f>SUM(Q17:V17)+SUM(I17:J17)</f>
        <v>94722</v>
      </c>
    </row>
    <row r="18" spans="2:23" ht="15.5" customHeight="1" x14ac:dyDescent="0.2">
      <c r="B18" s="40" t="s">
        <v>21</v>
      </c>
      <c r="C18" s="51"/>
      <c r="D18" s="52">
        <v>14</v>
      </c>
      <c r="E18" s="53" t="s">
        <v>124</v>
      </c>
      <c r="F18" s="54" t="s">
        <v>29</v>
      </c>
      <c r="G18" s="55">
        <v>28</v>
      </c>
      <c r="H18" s="5">
        <v>2337</v>
      </c>
      <c r="I18" s="57">
        <f t="shared" si="1"/>
        <v>65436</v>
      </c>
      <c r="J18" s="57">
        <v>1500</v>
      </c>
      <c r="K18" s="57"/>
      <c r="L18" s="55">
        <v>16</v>
      </c>
      <c r="M18" s="55">
        <v>2</v>
      </c>
      <c r="N18" s="57">
        <v>1250</v>
      </c>
      <c r="O18" s="57">
        <v>50</v>
      </c>
      <c r="P18" s="57">
        <f t="shared" si="2"/>
        <v>56.25</v>
      </c>
      <c r="Q18" s="57">
        <f t="shared" si="3"/>
        <v>43400</v>
      </c>
      <c r="R18" s="57">
        <v>70000</v>
      </c>
      <c r="S18" s="86">
        <f t="shared" si="0"/>
        <v>-58800</v>
      </c>
      <c r="T18" s="57">
        <v>600</v>
      </c>
      <c r="U18" s="57">
        <v>95000</v>
      </c>
      <c r="V18" s="88">
        <v>0</v>
      </c>
      <c r="W18" s="100">
        <f>SUM(Q18:V18)+SUM(I18:J18)</f>
        <v>217136</v>
      </c>
    </row>
    <row r="19" spans="2:23" ht="15.5" customHeight="1" x14ac:dyDescent="0.2">
      <c r="B19" s="40" t="s">
        <v>127</v>
      </c>
      <c r="C19" s="15"/>
      <c r="D19" s="40">
        <v>15</v>
      </c>
      <c r="E19" s="53" t="s">
        <v>35</v>
      </c>
      <c r="F19" s="9" t="s">
        <v>30</v>
      </c>
      <c r="G19" s="8">
        <v>31</v>
      </c>
      <c r="H19" s="5">
        <v>352</v>
      </c>
      <c r="I19" s="17">
        <f t="shared" si="1"/>
        <v>10912</v>
      </c>
      <c r="J19" s="17">
        <v>1500</v>
      </c>
      <c r="K19" s="17">
        <v>5104</v>
      </c>
      <c r="L19" s="8">
        <v>0</v>
      </c>
      <c r="M19" s="8">
        <v>0</v>
      </c>
      <c r="N19" s="5">
        <v>0</v>
      </c>
      <c r="O19" s="17"/>
      <c r="P19" s="57">
        <f t="shared" si="2"/>
        <v>0</v>
      </c>
      <c r="Q19" s="91">
        <f t="shared" si="3"/>
        <v>0</v>
      </c>
      <c r="R19" s="17">
        <v>7000</v>
      </c>
      <c r="S19" s="86">
        <f t="shared" si="0"/>
        <v>-5880</v>
      </c>
      <c r="T19" s="17">
        <v>1000</v>
      </c>
      <c r="U19" s="17"/>
      <c r="V19" s="10">
        <v>513</v>
      </c>
      <c r="W19" s="100">
        <f>V19+T19+R19+K19+J19+I19</f>
        <v>26029</v>
      </c>
    </row>
    <row r="20" spans="2:23" ht="15.5" customHeight="1" x14ac:dyDescent="0.2">
      <c r="B20" s="40" t="s">
        <v>127</v>
      </c>
      <c r="C20" s="15"/>
      <c r="D20" s="40">
        <v>16</v>
      </c>
      <c r="E20" s="53" t="s">
        <v>31</v>
      </c>
      <c r="F20" s="9" t="s">
        <v>30</v>
      </c>
      <c r="G20" s="8">
        <v>31</v>
      </c>
      <c r="H20" s="5">
        <v>352</v>
      </c>
      <c r="I20" s="17">
        <f t="shared" si="1"/>
        <v>10912</v>
      </c>
      <c r="J20" s="17">
        <v>1500</v>
      </c>
      <c r="K20" s="17">
        <v>5104</v>
      </c>
      <c r="L20" s="8">
        <v>0</v>
      </c>
      <c r="M20" s="8">
        <v>0</v>
      </c>
      <c r="N20" s="5">
        <v>0</v>
      </c>
      <c r="O20" s="17"/>
      <c r="P20" s="57">
        <f t="shared" si="2"/>
        <v>0</v>
      </c>
      <c r="Q20" s="91">
        <f t="shared" si="3"/>
        <v>0</v>
      </c>
      <c r="R20" s="17">
        <v>7000</v>
      </c>
      <c r="S20" s="86">
        <f t="shared" si="0"/>
        <v>-5880</v>
      </c>
      <c r="T20" s="17">
        <v>1000</v>
      </c>
      <c r="U20" s="17"/>
      <c r="V20" s="10">
        <v>513</v>
      </c>
      <c r="W20" s="100">
        <f>SUM(Q20:V20)+SUM(I20:J20)</f>
        <v>15045</v>
      </c>
    </row>
    <row r="21" spans="2:23" ht="15.5" customHeight="1" x14ac:dyDescent="0.2">
      <c r="B21" s="40" t="s">
        <v>21</v>
      </c>
      <c r="C21" s="51"/>
      <c r="D21" s="52">
        <v>17</v>
      </c>
      <c r="E21" s="53" t="s">
        <v>42</v>
      </c>
      <c r="F21" s="54" t="s">
        <v>29</v>
      </c>
      <c r="G21" s="55">
        <v>28</v>
      </c>
      <c r="H21" s="5">
        <v>1923.5</v>
      </c>
      <c r="I21" s="57">
        <f t="shared" si="1"/>
        <v>53858</v>
      </c>
      <c r="J21" s="57">
        <v>1500</v>
      </c>
      <c r="K21" s="57">
        <v>5104</v>
      </c>
      <c r="L21" s="55">
        <v>16</v>
      </c>
      <c r="M21" s="55">
        <v>1</v>
      </c>
      <c r="N21" s="57">
        <v>1250</v>
      </c>
      <c r="O21" s="57">
        <v>50</v>
      </c>
      <c r="P21" s="57">
        <f t="shared" si="2"/>
        <v>56.25</v>
      </c>
      <c r="Q21" s="57">
        <f t="shared" si="3"/>
        <v>21700</v>
      </c>
      <c r="R21" s="57">
        <v>65000</v>
      </c>
      <c r="S21" s="86">
        <f t="shared" si="0"/>
        <v>-54600</v>
      </c>
      <c r="T21" s="57">
        <f>600</f>
        <v>600</v>
      </c>
      <c r="U21" s="57">
        <v>111000</v>
      </c>
      <c r="V21" s="88">
        <f>(4*105)+(3*31)</f>
        <v>513</v>
      </c>
      <c r="W21" s="100">
        <f>SUM(Q21:V21)+SUM(I21:J21)</f>
        <v>199571</v>
      </c>
    </row>
    <row r="22" spans="2:23" ht="14.25" customHeight="1" x14ac:dyDescent="0.2">
      <c r="G22" s="59" t="s">
        <v>95</v>
      </c>
      <c r="H22" s="60"/>
      <c r="I22" s="60">
        <f>I5+I6+I7+I8+I9+I10+I11+I12+I14+I15+I18+I19+I20</f>
        <v>381116.96</v>
      </c>
      <c r="J22" s="60">
        <f>J5+J6+J7+J8+J9+J10+J11+J12+J13+J14+J15+J16+J17+J18+J19++J20</f>
        <v>24000</v>
      </c>
      <c r="K22" s="60">
        <f>K5+K6+K8+K10+K11+K14+K16+K19+K20</f>
        <v>45936</v>
      </c>
      <c r="L22" s="60"/>
      <c r="M22" s="60"/>
      <c r="N22" s="60"/>
      <c r="O22" s="60"/>
      <c r="P22" s="60"/>
      <c r="Q22" s="60">
        <f>Q7+Q9+Q12+Q13+Q15+Q17+Q18</f>
        <v>195300</v>
      </c>
      <c r="R22" s="60">
        <f>R5+R6+R7+R8+R9+R10+R11+R12+R13+R14+R15+R16+R17+R18+R19+R20+R21</f>
        <v>617999.84</v>
      </c>
      <c r="S22" s="60">
        <f>S5+S6+S7+S8+S9+S10+S11+S12+S13+S14+S15+S16+S17+S18+S19+S20+S21</f>
        <v>-519119.86560000002</v>
      </c>
      <c r="T22" s="60">
        <f>T5+T6+T7+T8+T9+T10+T11+T12+T13+T14+T15+T16+T17+T18+T19+T20</f>
        <v>12800</v>
      </c>
      <c r="U22" s="60">
        <f>U7+U13+U18+U21</f>
        <v>426000</v>
      </c>
      <c r="V22" s="60">
        <f>SUM(V5:V21)</f>
        <v>4617</v>
      </c>
      <c r="W22" s="107">
        <f>W5+W6+W7+W8+W9+W10+W12+W11+W13+W14+W15+W16+W17+W18+W19+W20+W21</f>
        <v>1647450.2000000002</v>
      </c>
    </row>
    <row r="23" spans="2:23" ht="30.75" customHeight="1" x14ac:dyDescent="0.2"/>
    <row r="24" spans="2:23" ht="15" customHeight="1" x14ac:dyDescent="0.2"/>
    <row r="25" spans="2:23" ht="14.25" customHeight="1" x14ac:dyDescent="0.2"/>
    <row r="26" spans="2:23" ht="14.25" customHeight="1" x14ac:dyDescent="0.2"/>
    <row r="27" spans="2:23" ht="14.25" customHeight="1" x14ac:dyDescent="0.2"/>
    <row r="28" spans="2:23" ht="14.25" customHeight="1" x14ac:dyDescent="0.2"/>
    <row r="29" spans="2:23" ht="14.25" customHeight="1" x14ac:dyDescent="0.2"/>
    <row r="30" spans="2:23" ht="10.5" customHeight="1" x14ac:dyDescent="0.2"/>
    <row r="31" spans="2:23" ht="6.75" hidden="1" customHeight="1" x14ac:dyDescent="0.2"/>
    <row r="32" spans="2:23" ht="24" customHeight="1" x14ac:dyDescent="0.3">
      <c r="B32" s="145" t="s">
        <v>119</v>
      </c>
      <c r="C32" s="145"/>
      <c r="D32" s="145"/>
      <c r="E32" s="145"/>
      <c r="F32" s="145"/>
      <c r="G32" s="145"/>
      <c r="H32" s="129" t="s">
        <v>141</v>
      </c>
      <c r="I32" s="129"/>
      <c r="J32" s="129"/>
      <c r="K32" s="129"/>
      <c r="L32" s="129"/>
      <c r="M32" s="129"/>
      <c r="N32" s="129"/>
      <c r="O32" s="129"/>
      <c r="P32" s="129"/>
      <c r="Q32" s="129"/>
      <c r="R32" s="129"/>
      <c r="S32" s="129"/>
      <c r="T32" s="129"/>
      <c r="U32" s="129"/>
      <c r="V32" s="116"/>
    </row>
    <row r="33" spans="1:23" ht="14.25" customHeight="1" x14ac:dyDescent="0.25">
      <c r="C33" s="131" t="s">
        <v>53</v>
      </c>
      <c r="D33" s="133" t="s">
        <v>48</v>
      </c>
      <c r="E33" s="135" t="s">
        <v>2</v>
      </c>
      <c r="F33" s="135" t="s">
        <v>3</v>
      </c>
      <c r="G33" s="137" t="s">
        <v>4</v>
      </c>
      <c r="H33" s="139" t="s">
        <v>60</v>
      </c>
      <c r="I33" s="140"/>
      <c r="J33" s="140"/>
      <c r="K33" s="117"/>
      <c r="L33" s="139"/>
      <c r="M33" s="140"/>
      <c r="N33" s="140"/>
      <c r="O33" s="140"/>
      <c r="P33" s="140"/>
      <c r="Q33" s="140"/>
      <c r="R33" s="140"/>
      <c r="S33" s="140"/>
      <c r="T33" s="140"/>
      <c r="U33" s="141"/>
      <c r="V33" s="44" t="s">
        <v>83</v>
      </c>
    </row>
    <row r="34" spans="1:23" ht="14.25" customHeight="1" x14ac:dyDescent="0.2">
      <c r="A34" s="14"/>
      <c r="B34" s="14"/>
      <c r="C34" s="131"/>
      <c r="D34" s="133"/>
      <c r="E34" s="135"/>
      <c r="F34" s="135"/>
      <c r="G34" s="137"/>
      <c r="H34" s="50" t="s">
        <v>99</v>
      </c>
      <c r="I34" s="43" t="s">
        <v>52</v>
      </c>
      <c r="J34" s="43" t="s">
        <v>62</v>
      </c>
      <c r="K34" s="43"/>
      <c r="L34" s="50" t="s">
        <v>135</v>
      </c>
      <c r="M34" s="50" t="s">
        <v>12</v>
      </c>
      <c r="N34" s="50" t="s">
        <v>13</v>
      </c>
      <c r="O34" s="50" t="s">
        <v>15</v>
      </c>
      <c r="P34" s="50" t="s">
        <v>16</v>
      </c>
      <c r="Q34" s="43" t="s">
        <v>18</v>
      </c>
      <c r="R34" s="43" t="s">
        <v>100</v>
      </c>
      <c r="S34" s="43"/>
      <c r="T34" s="43" t="s">
        <v>20</v>
      </c>
      <c r="U34" s="43" t="s">
        <v>21</v>
      </c>
      <c r="V34" s="43" t="s">
        <v>27</v>
      </c>
      <c r="W34" s="101" t="s">
        <v>96</v>
      </c>
    </row>
    <row r="35" spans="1:23" ht="14.25" customHeight="1" x14ac:dyDescent="0.2">
      <c r="B35" s="128" t="s">
        <v>64</v>
      </c>
      <c r="C35" s="51"/>
      <c r="D35" s="52"/>
      <c r="E35" s="53"/>
      <c r="F35" s="54" t="s">
        <v>30</v>
      </c>
      <c r="G35" s="55">
        <v>30</v>
      </c>
      <c r="H35" s="5"/>
      <c r="I35" s="85">
        <f>H35*G35</f>
        <v>0</v>
      </c>
      <c r="J35" s="86">
        <v>1500</v>
      </c>
      <c r="K35" s="86"/>
      <c r="L35" s="55"/>
      <c r="M35" s="55"/>
      <c r="N35" s="86"/>
      <c r="O35" s="86"/>
      <c r="P35" s="86"/>
      <c r="Q35" s="86"/>
      <c r="R35" s="86"/>
      <c r="S35" s="86"/>
      <c r="T35" s="86"/>
      <c r="U35" s="55"/>
      <c r="V35" s="88">
        <f>(4*105)+(3*31)</f>
        <v>513</v>
      </c>
      <c r="W35" s="100">
        <f>SUM(Q35:V35)+SUM(I35:J35)</f>
        <v>2013</v>
      </c>
    </row>
    <row r="36" spans="1:23" ht="14.25" customHeight="1" x14ac:dyDescent="0.2">
      <c r="B36" s="128"/>
      <c r="C36" s="15"/>
      <c r="D36" s="32"/>
      <c r="E36" s="16"/>
      <c r="F36" s="9" t="s">
        <v>29</v>
      </c>
      <c r="G36" s="8">
        <v>30</v>
      </c>
      <c r="H36" s="5">
        <v>770.5</v>
      </c>
      <c r="I36" s="17">
        <f>H36*G36*5</f>
        <v>115575</v>
      </c>
      <c r="J36" s="17">
        <v>1500</v>
      </c>
      <c r="K36" s="17"/>
      <c r="L36" s="8">
        <v>16</v>
      </c>
      <c r="M36" s="118">
        <v>5</v>
      </c>
      <c r="N36" s="119">
        <v>1250</v>
      </c>
      <c r="O36" s="17">
        <v>50</v>
      </c>
      <c r="P36" s="17">
        <v>90</v>
      </c>
      <c r="Q36" s="91">
        <f>N36*16*5</f>
        <v>100000</v>
      </c>
      <c r="R36" s="17">
        <v>170000</v>
      </c>
      <c r="S36" s="17"/>
      <c r="T36" s="17"/>
      <c r="U36" s="17">
        <v>110000</v>
      </c>
      <c r="V36" s="10"/>
      <c r="W36" s="100">
        <f>U36+R36+I36+Q36</f>
        <v>495575</v>
      </c>
    </row>
    <row r="37" spans="1:23" ht="14.25" customHeight="1" x14ac:dyDescent="0.2">
      <c r="B37" s="128"/>
      <c r="C37" s="51"/>
      <c r="D37" s="52"/>
      <c r="E37" s="53"/>
      <c r="F37" s="54" t="s">
        <v>30</v>
      </c>
      <c r="G37" s="55">
        <v>30</v>
      </c>
      <c r="H37" s="57"/>
      <c r="I37" s="57">
        <f>H37*G37</f>
        <v>0</v>
      </c>
      <c r="J37" s="57">
        <v>1500</v>
      </c>
      <c r="K37" s="57"/>
      <c r="L37" s="55"/>
      <c r="M37" s="55"/>
      <c r="N37" s="57"/>
      <c r="O37" s="57"/>
      <c r="P37" s="57"/>
      <c r="Q37" s="57"/>
      <c r="R37" s="57"/>
      <c r="S37" s="57"/>
      <c r="T37" s="57"/>
      <c r="U37" s="57"/>
      <c r="V37" s="88">
        <f>(4*105)+(3*31)</f>
        <v>513</v>
      </c>
      <c r="W37" s="100">
        <f>SUM(Q37:V37)+SUM(I37:J37)</f>
        <v>2013</v>
      </c>
    </row>
    <row r="38" spans="1:23" ht="14.25" customHeight="1" x14ac:dyDescent="0.2">
      <c r="A38" s="87"/>
      <c r="B38" s="87"/>
      <c r="C38" s="87"/>
      <c r="D38" s="87"/>
      <c r="E38" s="87"/>
      <c r="F38" s="87"/>
      <c r="G38" s="98"/>
      <c r="H38" s="98"/>
      <c r="I38" s="98"/>
      <c r="J38" s="98">
        <f>SUM(J35:J37)</f>
        <v>4500</v>
      </c>
      <c r="K38" s="98"/>
      <c r="L38" s="98"/>
      <c r="M38" s="98"/>
      <c r="N38" s="98"/>
      <c r="O38" s="98"/>
      <c r="P38" s="98"/>
      <c r="Q38" s="98"/>
      <c r="R38" s="98">
        <f>SUM(R35:R37)</f>
        <v>170000</v>
      </c>
      <c r="S38" s="98"/>
      <c r="T38" s="98">
        <f>SUM(T35:T37)</f>
        <v>0</v>
      </c>
      <c r="U38" s="98">
        <f>SUM(U35:U37)</f>
        <v>110000</v>
      </c>
      <c r="V38" s="98">
        <f>SUM(V35:V37)</f>
        <v>1026</v>
      </c>
      <c r="W38" s="98">
        <f>SUM(W35:W37)</f>
        <v>499601</v>
      </c>
    </row>
    <row r="39" spans="1:23" ht="14.25" customHeight="1" x14ac:dyDescent="0.2"/>
    <row r="40" spans="1:23" ht="14.25" customHeight="1" x14ac:dyDescent="0.2"/>
    <row r="41" spans="1:23" ht="14.25" customHeight="1" x14ac:dyDescent="0.2"/>
    <row r="42" spans="1:23" ht="14.25" customHeight="1" x14ac:dyDescent="0.2"/>
    <row r="43" spans="1:23" ht="14.25" customHeight="1" x14ac:dyDescent="0.2"/>
    <row r="44" spans="1:23" ht="14.25" customHeight="1" x14ac:dyDescent="0.2"/>
    <row r="45" spans="1:23" ht="14.25" customHeight="1" x14ac:dyDescent="0.2"/>
    <row r="46" spans="1:23" ht="14.25" customHeight="1" x14ac:dyDescent="0.2"/>
    <row r="47" spans="1:23" ht="14.25" customHeight="1" x14ac:dyDescent="0.2"/>
    <row r="48" spans="1:23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</sheetData>
  <mergeCells count="21">
    <mergeCell ref="B2:G2"/>
    <mergeCell ref="H2:U2"/>
    <mergeCell ref="C3:C4"/>
    <mergeCell ref="D3:D4"/>
    <mergeCell ref="E3:E4"/>
    <mergeCell ref="F3:F4"/>
    <mergeCell ref="G3:G4"/>
    <mergeCell ref="H3:J3"/>
    <mergeCell ref="L3:Q3"/>
    <mergeCell ref="R3:U3"/>
    <mergeCell ref="B35:B37"/>
    <mergeCell ref="B32:G32"/>
    <mergeCell ref="H32:U32"/>
    <mergeCell ref="C33:C34"/>
    <mergeCell ref="D33:D34"/>
    <mergeCell ref="E33:E34"/>
    <mergeCell ref="F33:F34"/>
    <mergeCell ref="G33:G34"/>
    <mergeCell ref="H33:J33"/>
    <mergeCell ref="L33:Q33"/>
    <mergeCell ref="R33:U33"/>
  </mergeCells>
  <pageMargins left="0.7" right="0.7" top="0.75" bottom="0.75" header="0.3" footer="0.3"/>
  <pageSetup paperSize="9" orientation="portrait" r:id="rId1"/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AB364-6946-C644-B3F2-48318AE3912A}">
  <dimension ref="B1:U919"/>
  <sheetViews>
    <sheetView showGridLines="0" topLeftCell="B2" zoomScale="80" zoomScaleNormal="80" workbookViewId="0">
      <selection activeCell="K26" sqref="K26"/>
    </sheetView>
  </sheetViews>
  <sheetFormatPr baseColWidth="10" defaultColWidth="13.83203125" defaultRowHeight="16" x14ac:dyDescent="0.2"/>
  <cols>
    <col min="1" max="1" width="3.6640625" style="3" customWidth="1"/>
    <col min="2" max="3" width="13.83203125" style="3"/>
    <col min="4" max="4" width="13.5" style="3" bestFit="1" customWidth="1"/>
    <col min="5" max="5" width="33.83203125" style="3" customWidth="1"/>
    <col min="6" max="6" width="14" style="3" customWidth="1"/>
    <col min="7" max="7" width="17.6640625" style="7" bestFit="1" customWidth="1"/>
    <col min="8" max="8" width="14" style="7" customWidth="1"/>
    <col min="9" max="9" width="15.33203125" style="7" customWidth="1"/>
    <col min="10" max="10" width="14.33203125" style="7" customWidth="1"/>
    <col min="11" max="11" width="12.6640625" style="7" customWidth="1"/>
    <col min="12" max="17" width="14.33203125" style="7" customWidth="1"/>
    <col min="18" max="18" width="11.5" style="7" customWidth="1"/>
    <col min="19" max="19" width="13.83203125" style="7"/>
    <col min="20" max="20" width="16.33203125" style="3" bestFit="1" customWidth="1"/>
    <col min="21" max="16384" width="13.83203125" style="3"/>
  </cols>
  <sheetData>
    <row r="1" spans="2:20" ht="14.25" customHeight="1" x14ac:dyDescent="0.2">
      <c r="D1" s="7"/>
      <c r="E1" s="7"/>
      <c r="F1" s="7"/>
    </row>
    <row r="2" spans="2:20" ht="24" x14ac:dyDescent="0.3">
      <c r="C2" s="11"/>
      <c r="D2" s="11"/>
      <c r="E2" s="7"/>
      <c r="F2" s="7"/>
      <c r="H2" s="129" t="s">
        <v>44</v>
      </c>
      <c r="I2" s="129"/>
      <c r="J2" s="129"/>
      <c r="K2" s="129"/>
      <c r="L2" s="129"/>
      <c r="M2" s="129"/>
      <c r="N2" s="129"/>
      <c r="O2" s="129"/>
      <c r="P2" s="129"/>
      <c r="Q2" s="129"/>
      <c r="R2" s="129"/>
      <c r="S2" s="129"/>
    </row>
    <row r="3" spans="2:20" ht="21" x14ac:dyDescent="0.25">
      <c r="C3" s="131" t="s">
        <v>53</v>
      </c>
      <c r="D3" s="133" t="s">
        <v>48</v>
      </c>
      <c r="E3" s="135" t="s">
        <v>2</v>
      </c>
      <c r="F3" s="135" t="s">
        <v>3</v>
      </c>
      <c r="G3" s="137" t="s">
        <v>4</v>
      </c>
      <c r="H3" s="139" t="s">
        <v>60</v>
      </c>
      <c r="I3" s="140"/>
      <c r="J3" s="140"/>
      <c r="K3" s="139" t="s">
        <v>1</v>
      </c>
      <c r="L3" s="140"/>
      <c r="M3" s="140"/>
      <c r="N3" s="140"/>
      <c r="O3" s="140"/>
      <c r="P3" s="140"/>
      <c r="Q3" s="140"/>
      <c r="R3" s="140"/>
      <c r="S3" s="141"/>
    </row>
    <row r="4" spans="2:20" s="2" customFormat="1" ht="32" x14ac:dyDescent="0.2">
      <c r="C4" s="132"/>
      <c r="D4" s="134"/>
      <c r="E4" s="136"/>
      <c r="F4" s="136"/>
      <c r="G4" s="138"/>
      <c r="H4" s="67" t="s">
        <v>99</v>
      </c>
      <c r="I4" s="43" t="s">
        <v>52</v>
      </c>
      <c r="J4" s="43" t="s">
        <v>62</v>
      </c>
      <c r="K4" s="67" t="s">
        <v>11</v>
      </c>
      <c r="L4" s="67" t="s">
        <v>12</v>
      </c>
      <c r="M4" s="67" t="s">
        <v>13</v>
      </c>
      <c r="N4" s="67" t="s">
        <v>14</v>
      </c>
      <c r="O4" s="67" t="s">
        <v>15</v>
      </c>
      <c r="P4" s="67" t="s">
        <v>16</v>
      </c>
      <c r="Q4" s="43" t="s">
        <v>18</v>
      </c>
      <c r="R4" s="43" t="s">
        <v>100</v>
      </c>
      <c r="S4" s="43" t="s">
        <v>21</v>
      </c>
      <c r="T4" s="101" t="s">
        <v>96</v>
      </c>
    </row>
    <row r="5" spans="2:20" x14ac:dyDescent="0.2">
      <c r="B5" s="128" t="s">
        <v>130</v>
      </c>
      <c r="C5" s="51"/>
      <c r="D5" s="77">
        <v>1</v>
      </c>
      <c r="E5" s="53" t="s">
        <v>41</v>
      </c>
      <c r="F5" s="70" t="s">
        <v>30</v>
      </c>
      <c r="G5" s="55"/>
      <c r="H5" s="55"/>
      <c r="I5" s="55"/>
      <c r="J5" s="92">
        <v>1000</v>
      </c>
      <c r="K5" s="55"/>
      <c r="L5" s="55"/>
      <c r="M5" s="55"/>
      <c r="N5" s="55"/>
      <c r="O5" s="55"/>
      <c r="P5" s="55"/>
      <c r="Q5" s="55"/>
      <c r="R5" s="55"/>
      <c r="S5" s="55"/>
      <c r="T5" s="104">
        <f t="shared" ref="T5:T20" si="0">SUM(Q5:S5)+SUM(I5:J5)</f>
        <v>1000</v>
      </c>
    </row>
    <row r="6" spans="2:20" x14ac:dyDescent="0.2">
      <c r="B6" s="128"/>
      <c r="C6" s="15"/>
      <c r="D6" s="75">
        <v>2</v>
      </c>
      <c r="E6" s="16" t="s">
        <v>84</v>
      </c>
      <c r="F6" s="71" t="s">
        <v>29</v>
      </c>
      <c r="G6" s="33">
        <v>24</v>
      </c>
      <c r="H6" s="5">
        <v>1525.29</v>
      </c>
      <c r="I6" s="17">
        <f t="shared" ref="I6:I7" si="1">H6*G6</f>
        <v>36606.959999999999</v>
      </c>
      <c r="J6" s="17">
        <v>1200</v>
      </c>
      <c r="K6" s="33">
        <v>14</v>
      </c>
      <c r="L6" s="33">
        <v>1</v>
      </c>
      <c r="M6" s="24">
        <v>1200</v>
      </c>
      <c r="N6" s="24">
        <v>35</v>
      </c>
      <c r="O6" s="24">
        <v>30</v>
      </c>
      <c r="P6" s="17">
        <f>M6*0.045</f>
        <v>54</v>
      </c>
      <c r="Q6" s="90">
        <f t="shared" ref="Q6:Q20" si="2">SUM(M6:P6)*K6*L6</f>
        <v>18466</v>
      </c>
      <c r="R6" s="24">
        <v>73300</v>
      </c>
      <c r="S6" s="17">
        <v>84530</v>
      </c>
      <c r="T6" s="104">
        <f>S6+R6+Q6+J6+I6</f>
        <v>214102.96</v>
      </c>
    </row>
    <row r="7" spans="2:20" x14ac:dyDescent="0.2">
      <c r="B7" s="128"/>
      <c r="C7" s="15"/>
      <c r="D7" s="75">
        <v>3</v>
      </c>
      <c r="E7" s="16" t="s">
        <v>36</v>
      </c>
      <c r="F7" s="71" t="s">
        <v>29</v>
      </c>
      <c r="G7" s="8">
        <v>24</v>
      </c>
      <c r="H7" s="5">
        <v>1932.25</v>
      </c>
      <c r="I7" s="17">
        <f t="shared" si="1"/>
        <v>46374</v>
      </c>
      <c r="J7" s="17">
        <v>1200</v>
      </c>
      <c r="K7" s="8">
        <v>14</v>
      </c>
      <c r="L7" s="8">
        <v>1</v>
      </c>
      <c r="M7" s="17">
        <v>1200</v>
      </c>
      <c r="N7" s="17">
        <v>35</v>
      </c>
      <c r="O7" s="17">
        <v>30</v>
      </c>
      <c r="P7" s="17">
        <f>M7*0.03</f>
        <v>36</v>
      </c>
      <c r="Q7" s="91">
        <f t="shared" si="2"/>
        <v>18214</v>
      </c>
      <c r="R7" s="17">
        <v>68794</v>
      </c>
      <c r="S7" s="17"/>
      <c r="T7" s="104">
        <f>R7+Q7+J7+I7</f>
        <v>134582</v>
      </c>
    </row>
    <row r="8" spans="2:20" x14ac:dyDescent="0.2">
      <c r="B8" s="128"/>
      <c r="C8" s="55"/>
      <c r="D8" s="77">
        <v>4</v>
      </c>
      <c r="E8" s="53" t="s">
        <v>49</v>
      </c>
      <c r="F8" s="70" t="s">
        <v>30</v>
      </c>
      <c r="G8" s="55"/>
      <c r="H8" s="57"/>
      <c r="I8" s="57"/>
      <c r="J8" s="57">
        <v>1000</v>
      </c>
      <c r="K8" s="55"/>
      <c r="L8" s="55"/>
      <c r="M8" s="57"/>
      <c r="N8" s="57"/>
      <c r="O8" s="57"/>
      <c r="P8" s="57"/>
      <c r="Q8" s="57">
        <f t="shared" si="2"/>
        <v>0</v>
      </c>
      <c r="R8" s="57"/>
      <c r="S8" s="57"/>
      <c r="T8" s="104">
        <f t="shared" si="0"/>
        <v>1000</v>
      </c>
    </row>
    <row r="9" spans="2:20" x14ac:dyDescent="0.2">
      <c r="B9" s="128" t="s">
        <v>131</v>
      </c>
      <c r="C9" s="51"/>
      <c r="D9" s="77">
        <v>6</v>
      </c>
      <c r="E9" s="53" t="s">
        <v>33</v>
      </c>
      <c r="F9" s="70" t="s">
        <v>30</v>
      </c>
      <c r="G9" s="55"/>
      <c r="H9" s="57"/>
      <c r="I9" s="57"/>
      <c r="J9" s="57">
        <v>1000</v>
      </c>
      <c r="K9" s="55"/>
      <c r="L9" s="55"/>
      <c r="M9" s="57"/>
      <c r="N9" s="57"/>
      <c r="O9" s="57"/>
      <c r="P9" s="57"/>
      <c r="Q9" s="57">
        <f t="shared" si="2"/>
        <v>0</v>
      </c>
      <c r="R9" s="57"/>
      <c r="S9" s="57"/>
      <c r="T9" s="104">
        <f t="shared" si="0"/>
        <v>1000</v>
      </c>
    </row>
    <row r="10" spans="2:20" x14ac:dyDescent="0.2">
      <c r="B10" s="128"/>
      <c r="C10" s="15"/>
      <c r="D10" s="75">
        <v>7</v>
      </c>
      <c r="E10" s="16" t="s">
        <v>35</v>
      </c>
      <c r="F10" s="71" t="s">
        <v>29</v>
      </c>
      <c r="G10" s="8">
        <v>24</v>
      </c>
      <c r="H10" s="5">
        <v>1932.25</v>
      </c>
      <c r="I10" s="17">
        <f t="shared" ref="I10:I11" si="3">H10*G10</f>
        <v>46374</v>
      </c>
      <c r="J10" s="17">
        <v>1200</v>
      </c>
      <c r="K10" s="8">
        <v>14</v>
      </c>
      <c r="L10" s="8">
        <v>1</v>
      </c>
      <c r="M10" s="17">
        <v>1200</v>
      </c>
      <c r="N10" s="17">
        <v>35</v>
      </c>
      <c r="O10" s="17">
        <v>30</v>
      </c>
      <c r="P10" s="17">
        <f t="shared" ref="P10" si="4">M10*0.03</f>
        <v>36</v>
      </c>
      <c r="Q10" s="91">
        <f t="shared" si="2"/>
        <v>18214</v>
      </c>
      <c r="R10" s="17">
        <v>68794</v>
      </c>
      <c r="S10" s="17"/>
      <c r="T10" s="104">
        <f>R10+Q10+J10+I10</f>
        <v>134582</v>
      </c>
    </row>
    <row r="11" spans="2:20" x14ac:dyDescent="0.2">
      <c r="B11" s="128"/>
      <c r="C11" s="15"/>
      <c r="D11" s="75">
        <v>8</v>
      </c>
      <c r="E11" s="16" t="s">
        <v>38</v>
      </c>
      <c r="F11" s="71" t="s">
        <v>29</v>
      </c>
      <c r="G11" s="8">
        <v>24</v>
      </c>
      <c r="H11" s="5">
        <v>1633</v>
      </c>
      <c r="I11" s="17">
        <f t="shared" si="3"/>
        <v>39192</v>
      </c>
      <c r="J11" s="17">
        <v>1200</v>
      </c>
      <c r="K11" s="8">
        <v>14</v>
      </c>
      <c r="L11" s="8">
        <v>1</v>
      </c>
      <c r="M11" s="17">
        <v>1200</v>
      </c>
      <c r="N11" s="17">
        <v>35</v>
      </c>
      <c r="O11" s="17">
        <v>30</v>
      </c>
      <c r="P11" s="17">
        <f>M11*0.045</f>
        <v>54</v>
      </c>
      <c r="Q11" s="91">
        <f t="shared" si="2"/>
        <v>18466</v>
      </c>
      <c r="R11" s="17">
        <v>73300</v>
      </c>
      <c r="S11" s="17"/>
      <c r="T11" s="104">
        <f t="shared" si="0"/>
        <v>132158</v>
      </c>
    </row>
    <row r="12" spans="2:20" x14ac:dyDescent="0.2">
      <c r="B12" s="128"/>
      <c r="C12" s="51"/>
      <c r="D12" s="77">
        <v>9</v>
      </c>
      <c r="E12" s="53" t="s">
        <v>40</v>
      </c>
      <c r="F12" s="70" t="s">
        <v>30</v>
      </c>
      <c r="G12" s="55"/>
      <c r="H12" s="57"/>
      <c r="I12" s="57"/>
      <c r="J12" s="57">
        <v>1000</v>
      </c>
      <c r="K12" s="55"/>
      <c r="L12" s="55"/>
      <c r="M12" s="57"/>
      <c r="N12" s="57"/>
      <c r="O12" s="57"/>
      <c r="P12" s="57"/>
      <c r="Q12" s="57">
        <f t="shared" si="2"/>
        <v>0</v>
      </c>
      <c r="R12" s="57"/>
      <c r="S12" s="57"/>
      <c r="T12" s="104">
        <f t="shared" si="0"/>
        <v>1000</v>
      </c>
    </row>
    <row r="13" spans="2:20" x14ac:dyDescent="0.2">
      <c r="B13" s="128" t="s">
        <v>132</v>
      </c>
      <c r="C13" s="15"/>
      <c r="D13" s="75">
        <v>10</v>
      </c>
      <c r="E13" s="16" t="s">
        <v>33</v>
      </c>
      <c r="F13" s="71" t="s">
        <v>29</v>
      </c>
      <c r="G13" s="8">
        <v>24</v>
      </c>
      <c r="H13" s="17">
        <v>1633</v>
      </c>
      <c r="I13" s="17">
        <f>H13*G13</f>
        <v>39192</v>
      </c>
      <c r="J13" s="17">
        <v>1200</v>
      </c>
      <c r="K13" s="8">
        <v>14</v>
      </c>
      <c r="L13" s="8">
        <v>1</v>
      </c>
      <c r="M13" s="17">
        <v>1200</v>
      </c>
      <c r="N13" s="17">
        <v>35</v>
      </c>
      <c r="O13" s="17">
        <v>30</v>
      </c>
      <c r="P13" s="17">
        <f>M13*0.03</f>
        <v>36</v>
      </c>
      <c r="Q13" s="91">
        <f t="shared" si="2"/>
        <v>18214</v>
      </c>
      <c r="R13" s="17">
        <v>73300</v>
      </c>
      <c r="S13" s="17"/>
      <c r="T13" s="104">
        <f>R13+Q13+J13+I13</f>
        <v>131906</v>
      </c>
    </row>
    <row r="14" spans="2:20" x14ac:dyDescent="0.2">
      <c r="B14" s="128"/>
      <c r="C14" s="51"/>
      <c r="D14" s="77">
        <v>11</v>
      </c>
      <c r="E14" s="53" t="s">
        <v>36</v>
      </c>
      <c r="F14" s="70" t="s">
        <v>30</v>
      </c>
      <c r="G14" s="55"/>
      <c r="H14" s="57"/>
      <c r="I14" s="57"/>
      <c r="J14" s="57">
        <v>1000</v>
      </c>
      <c r="K14" s="55"/>
      <c r="L14" s="55"/>
      <c r="M14" s="57"/>
      <c r="N14" s="57"/>
      <c r="O14" s="57"/>
      <c r="P14" s="57"/>
      <c r="Q14" s="57">
        <f t="shared" si="2"/>
        <v>0</v>
      </c>
      <c r="R14" s="57"/>
      <c r="S14" s="57"/>
      <c r="T14" s="104">
        <f t="shared" si="0"/>
        <v>1000</v>
      </c>
    </row>
    <row r="15" spans="2:20" x14ac:dyDescent="0.2">
      <c r="B15" s="128"/>
      <c r="C15" s="51"/>
      <c r="D15" s="77">
        <v>13</v>
      </c>
      <c r="E15" s="53" t="s">
        <v>84</v>
      </c>
      <c r="F15" s="70" t="s">
        <v>30</v>
      </c>
      <c r="G15" s="55"/>
      <c r="H15" s="57"/>
      <c r="I15" s="57"/>
      <c r="J15" s="57">
        <v>1000</v>
      </c>
      <c r="K15" s="55"/>
      <c r="L15" s="55"/>
      <c r="M15" s="57"/>
      <c r="N15" s="57"/>
      <c r="O15" s="57"/>
      <c r="P15" s="57"/>
      <c r="Q15" s="57">
        <f t="shared" si="2"/>
        <v>0</v>
      </c>
      <c r="R15" s="57"/>
      <c r="S15" s="57"/>
      <c r="T15" s="104">
        <f t="shared" si="0"/>
        <v>1000</v>
      </c>
    </row>
    <row r="16" spans="2:20" x14ac:dyDescent="0.2">
      <c r="B16" s="128"/>
      <c r="C16" s="51"/>
      <c r="D16" s="77">
        <v>14</v>
      </c>
      <c r="E16" s="53" t="s">
        <v>38</v>
      </c>
      <c r="F16" s="70" t="s">
        <v>30</v>
      </c>
      <c r="G16" s="55"/>
      <c r="H16" s="55"/>
      <c r="I16" s="55"/>
      <c r="J16" s="57">
        <v>1000</v>
      </c>
      <c r="K16" s="55"/>
      <c r="L16" s="55"/>
      <c r="M16" s="55"/>
      <c r="N16" s="55"/>
      <c r="O16" s="55"/>
      <c r="P16" s="55"/>
      <c r="Q16" s="55">
        <f t="shared" si="2"/>
        <v>0</v>
      </c>
      <c r="R16" s="55"/>
      <c r="S16" s="57"/>
      <c r="T16" s="104">
        <f t="shared" si="0"/>
        <v>1000</v>
      </c>
    </row>
    <row r="17" spans="2:21" x14ac:dyDescent="0.2">
      <c r="B17" s="128" t="s">
        <v>133</v>
      </c>
      <c r="C17" s="15"/>
      <c r="D17" s="75">
        <v>15</v>
      </c>
      <c r="E17" s="16" t="s">
        <v>41</v>
      </c>
      <c r="F17" s="71" t="s">
        <v>29</v>
      </c>
      <c r="G17" s="8">
        <v>24</v>
      </c>
      <c r="H17" s="5">
        <v>1683</v>
      </c>
      <c r="I17" s="17">
        <f t="shared" ref="I17:I18" si="5">H17*G17</f>
        <v>40392</v>
      </c>
      <c r="J17" s="17">
        <v>1200</v>
      </c>
      <c r="K17" s="8">
        <v>14</v>
      </c>
      <c r="L17" s="8">
        <v>1</v>
      </c>
      <c r="M17" s="8">
        <v>1200</v>
      </c>
      <c r="N17" s="8">
        <v>35</v>
      </c>
      <c r="O17" s="8">
        <v>30</v>
      </c>
      <c r="P17" s="17">
        <f t="shared" ref="P17:P18" si="6">M17*0.03</f>
        <v>36</v>
      </c>
      <c r="Q17" s="91">
        <f t="shared" si="2"/>
        <v>18214</v>
      </c>
      <c r="R17" s="91">
        <v>67300</v>
      </c>
      <c r="S17" s="17"/>
      <c r="T17" s="104">
        <f>R17+Q17+J17+I17</f>
        <v>127106</v>
      </c>
    </row>
    <row r="18" spans="2:21" x14ac:dyDescent="0.2">
      <c r="B18" s="128"/>
      <c r="C18" s="15"/>
      <c r="D18" s="75">
        <v>16</v>
      </c>
      <c r="E18" s="16" t="s">
        <v>40</v>
      </c>
      <c r="F18" s="71" t="s">
        <v>29</v>
      </c>
      <c r="G18" s="8">
        <v>24</v>
      </c>
      <c r="H18" s="8">
        <v>299</v>
      </c>
      <c r="I18" s="17">
        <f t="shared" si="5"/>
        <v>7176</v>
      </c>
      <c r="J18" s="17">
        <v>1200</v>
      </c>
      <c r="K18" s="8"/>
      <c r="L18" s="8"/>
      <c r="M18" s="8"/>
      <c r="N18" s="8"/>
      <c r="O18" s="8"/>
      <c r="P18" s="17">
        <f t="shared" si="6"/>
        <v>0</v>
      </c>
      <c r="Q18" s="91">
        <f t="shared" si="2"/>
        <v>0</v>
      </c>
      <c r="R18" s="91">
        <v>0</v>
      </c>
      <c r="S18" s="17"/>
      <c r="T18" s="104">
        <f t="shared" si="0"/>
        <v>8376</v>
      </c>
    </row>
    <row r="19" spans="2:21" x14ac:dyDescent="0.2">
      <c r="B19" s="128"/>
      <c r="C19" s="51"/>
      <c r="D19" s="77">
        <v>17</v>
      </c>
      <c r="E19" s="53" t="s">
        <v>35</v>
      </c>
      <c r="F19" s="70" t="s">
        <v>30</v>
      </c>
      <c r="G19" s="82"/>
      <c r="H19" s="82"/>
      <c r="I19" s="82"/>
      <c r="J19" s="57">
        <v>1000</v>
      </c>
      <c r="K19" s="54"/>
      <c r="L19" s="54"/>
      <c r="M19" s="54"/>
      <c r="N19" s="83"/>
      <c r="O19" s="83"/>
      <c r="P19" s="83"/>
      <c r="Q19" s="83">
        <f t="shared" si="2"/>
        <v>0</v>
      </c>
      <c r="R19" s="54"/>
      <c r="S19" s="57"/>
      <c r="T19" s="104">
        <f t="shared" si="0"/>
        <v>1000</v>
      </c>
    </row>
    <row r="20" spans="2:21" x14ac:dyDescent="0.2">
      <c r="B20" s="128"/>
      <c r="C20" s="15"/>
      <c r="D20" s="75">
        <v>18</v>
      </c>
      <c r="E20" s="16" t="s">
        <v>49</v>
      </c>
      <c r="F20" s="71" t="s">
        <v>29</v>
      </c>
      <c r="G20" s="20">
        <v>24</v>
      </c>
      <c r="H20" s="5">
        <v>1683</v>
      </c>
      <c r="I20" s="17">
        <f>H20*G20</f>
        <v>40392</v>
      </c>
      <c r="J20" s="17">
        <v>1200</v>
      </c>
      <c r="K20" s="8">
        <v>14</v>
      </c>
      <c r="L20" s="17">
        <v>1</v>
      </c>
      <c r="M20" s="8">
        <v>1200</v>
      </c>
      <c r="N20" s="17">
        <v>35</v>
      </c>
      <c r="O20" s="17">
        <v>30</v>
      </c>
      <c r="P20" s="17">
        <f>M20*0.03</f>
        <v>36</v>
      </c>
      <c r="Q20" s="91">
        <f t="shared" si="2"/>
        <v>18214</v>
      </c>
      <c r="R20" s="91">
        <v>49775</v>
      </c>
      <c r="S20" s="17"/>
      <c r="T20" s="104">
        <f t="shared" si="0"/>
        <v>109581</v>
      </c>
    </row>
    <row r="21" spans="2:21" ht="28.5" customHeight="1" x14ac:dyDescent="0.2">
      <c r="C21" s="12"/>
      <c r="D21" s="35"/>
      <c r="E21" s="36"/>
      <c r="F21" s="13"/>
      <c r="G21" s="59" t="s">
        <v>95</v>
      </c>
      <c r="H21" s="60"/>
      <c r="I21" s="60">
        <f t="shared" ref="I21:S21" si="7">SUM(I4:I20)</f>
        <v>295698.95999999996</v>
      </c>
      <c r="J21" s="60">
        <f t="shared" si="7"/>
        <v>17600</v>
      </c>
      <c r="K21" s="60"/>
      <c r="L21" s="60"/>
      <c r="M21" s="60"/>
      <c r="N21" s="60"/>
      <c r="O21" s="60"/>
      <c r="P21" s="60"/>
      <c r="Q21" s="60">
        <f>Q6+Q7+Q10+Q11+Q13+Q17+Q20</f>
        <v>128002</v>
      </c>
      <c r="R21" s="60">
        <f>R20+R17+R13+R11+R10+R7+R6</f>
        <v>474563</v>
      </c>
      <c r="S21" s="60">
        <f t="shared" si="7"/>
        <v>84530</v>
      </c>
      <c r="T21" s="66">
        <f>T5+T6+T7+T8+T9+T10+T11+T12+T13+T14+T15+T16+T17+T18+T19+T20</f>
        <v>1000393.96</v>
      </c>
    </row>
    <row r="22" spans="2:21" ht="11.25" customHeight="1" x14ac:dyDescent="0.2">
      <c r="C22" s="12"/>
      <c r="D22" s="35"/>
      <c r="E22" s="36"/>
      <c r="F22" s="13"/>
      <c r="H22" s="18"/>
      <c r="I22" s="18"/>
      <c r="J22" s="18"/>
      <c r="M22" s="18"/>
      <c r="N22" s="18"/>
      <c r="O22" s="18"/>
      <c r="P22" s="18"/>
      <c r="Q22" s="18"/>
      <c r="R22" s="18"/>
      <c r="S22" s="18"/>
    </row>
    <row r="23" spans="2:21" ht="14.25" customHeight="1" x14ac:dyDescent="0.2"/>
    <row r="24" spans="2:21" ht="14.25" customHeight="1" x14ac:dyDescent="0.2"/>
    <row r="25" spans="2:21" ht="14.25" customHeight="1" x14ac:dyDescent="0.2"/>
    <row r="26" spans="2:21" ht="14.25" customHeight="1" x14ac:dyDescent="0.25">
      <c r="C26" s="147"/>
      <c r="D26" s="147"/>
      <c r="E26" s="108"/>
      <c r="F26"/>
      <c r="G26"/>
      <c r="H26" s="3"/>
      <c r="I26" s="3"/>
      <c r="J26" s="3"/>
      <c r="K26" s="3"/>
    </row>
    <row r="27" spans="2:21" s="7" customFormat="1" ht="24" x14ac:dyDescent="0.3">
      <c r="B27" s="145" t="s">
        <v>119</v>
      </c>
      <c r="C27" s="145"/>
      <c r="D27" s="145"/>
      <c r="E27" s="145"/>
      <c r="F27" s="145"/>
      <c r="G27" s="145"/>
      <c r="H27" s="129" t="s">
        <v>44</v>
      </c>
      <c r="I27" s="129"/>
      <c r="J27" s="129"/>
      <c r="K27" s="129"/>
      <c r="L27" s="129"/>
      <c r="M27" s="129"/>
      <c r="N27" s="129"/>
      <c r="O27" s="129"/>
      <c r="P27" s="129"/>
      <c r="Q27" s="129"/>
      <c r="R27" s="129"/>
      <c r="S27" s="129"/>
      <c r="T27" s="116"/>
    </row>
    <row r="28" spans="2:21" s="7" customFormat="1" ht="21" x14ac:dyDescent="0.25">
      <c r="C28" s="131" t="s">
        <v>53</v>
      </c>
      <c r="D28" s="133" t="s">
        <v>48</v>
      </c>
      <c r="E28" s="135" t="s">
        <v>2</v>
      </c>
      <c r="F28" s="135" t="s">
        <v>3</v>
      </c>
      <c r="G28" s="137" t="s">
        <v>4</v>
      </c>
      <c r="H28" s="139" t="s">
        <v>60</v>
      </c>
      <c r="I28" s="140"/>
      <c r="J28" s="140"/>
      <c r="K28" s="139"/>
      <c r="L28" s="140"/>
      <c r="M28" s="140"/>
      <c r="N28" s="140"/>
      <c r="O28" s="140"/>
      <c r="P28" s="140"/>
      <c r="Q28" s="140"/>
      <c r="R28" s="140"/>
      <c r="S28" s="141"/>
      <c r="T28" s="115"/>
    </row>
    <row r="29" spans="2:21" s="14" customFormat="1" ht="72.5" customHeight="1" x14ac:dyDescent="0.2">
      <c r="C29" s="131"/>
      <c r="D29" s="133"/>
      <c r="E29" s="135"/>
      <c r="F29" s="135"/>
      <c r="G29" s="137"/>
      <c r="H29" s="50" t="s">
        <v>99</v>
      </c>
      <c r="I29" s="43" t="s">
        <v>52</v>
      </c>
      <c r="J29" s="43" t="s">
        <v>62</v>
      </c>
      <c r="K29" s="50"/>
      <c r="L29" s="50"/>
      <c r="M29" s="50"/>
      <c r="N29" s="50"/>
      <c r="O29" s="50"/>
      <c r="P29" s="50"/>
      <c r="Q29" s="43"/>
      <c r="R29" s="43" t="s">
        <v>100</v>
      </c>
      <c r="S29" s="43"/>
      <c r="T29" s="43"/>
      <c r="U29" s="101" t="s">
        <v>96</v>
      </c>
    </row>
    <row r="30" spans="2:21" s="7" customFormat="1" ht="15.5" customHeight="1" x14ac:dyDescent="0.2">
      <c r="B30" s="128" t="s">
        <v>138</v>
      </c>
      <c r="C30" s="51"/>
      <c r="D30" s="52"/>
      <c r="E30" s="53"/>
      <c r="F30" s="54" t="s">
        <v>30</v>
      </c>
      <c r="G30" s="55">
        <v>24</v>
      </c>
      <c r="H30" s="5"/>
      <c r="I30" s="85">
        <f>H30*G30</f>
        <v>0</v>
      </c>
      <c r="J30" s="86">
        <v>1500</v>
      </c>
      <c r="K30" s="55"/>
      <c r="L30" s="55"/>
      <c r="M30" s="86"/>
      <c r="N30" s="55"/>
      <c r="O30" s="86"/>
      <c r="P30" s="86"/>
      <c r="Q30" s="86"/>
      <c r="R30" s="86"/>
      <c r="S30" s="55"/>
      <c r="T30" s="105"/>
      <c r="U30" s="100">
        <f>SUM(Q30:T30)+SUM(I30:J30)</f>
        <v>1500</v>
      </c>
    </row>
    <row r="31" spans="2:21" s="7" customFormat="1" ht="15.5" customHeight="1" x14ac:dyDescent="0.2">
      <c r="B31" s="128"/>
      <c r="C31" s="15"/>
      <c r="D31" s="32"/>
      <c r="E31" s="16" t="s">
        <v>134</v>
      </c>
      <c r="F31" s="9" t="s">
        <v>29</v>
      </c>
      <c r="G31" s="8">
        <v>24</v>
      </c>
      <c r="H31" s="5">
        <v>770.5</v>
      </c>
      <c r="I31" s="17">
        <f>H31*G31</f>
        <v>18492</v>
      </c>
      <c r="J31" s="17">
        <v>1500</v>
      </c>
      <c r="K31" s="8"/>
      <c r="L31" s="8"/>
      <c r="M31" s="5"/>
      <c r="N31" s="17"/>
      <c r="O31" s="17"/>
      <c r="P31" s="17"/>
      <c r="Q31" s="91"/>
      <c r="R31" s="17">
        <v>40000</v>
      </c>
      <c r="S31" s="17"/>
      <c r="T31" s="103"/>
      <c r="U31" s="100">
        <f>SUM(Q31:T31)+SUM(I31:J31)</f>
        <v>59992</v>
      </c>
    </row>
    <row r="32" spans="2:21" s="7" customFormat="1" ht="15.5" customHeight="1" x14ac:dyDescent="0.2">
      <c r="B32" s="128"/>
      <c r="C32" s="51"/>
      <c r="D32" s="52"/>
      <c r="E32" s="53"/>
      <c r="F32" s="54" t="s">
        <v>30</v>
      </c>
      <c r="G32" s="55">
        <v>24</v>
      </c>
      <c r="H32" s="57"/>
      <c r="I32" s="57">
        <f>H32*G32</f>
        <v>0</v>
      </c>
      <c r="J32" s="57">
        <v>1500</v>
      </c>
      <c r="K32" s="55"/>
      <c r="L32" s="55"/>
      <c r="M32" s="57"/>
      <c r="N32" s="57"/>
      <c r="O32" s="57"/>
      <c r="P32" s="57"/>
      <c r="Q32" s="57"/>
      <c r="R32" s="57"/>
      <c r="S32" s="57"/>
      <c r="T32" s="105"/>
      <c r="U32" s="100">
        <f>SUM(Q32:T32)+SUM(I32:J32)</f>
        <v>1500</v>
      </c>
    </row>
    <row r="33" spans="5:21" s="87" customFormat="1" ht="14.25" customHeight="1" x14ac:dyDescent="0.2">
      <c r="G33" s="98"/>
      <c r="H33" s="98"/>
      <c r="I33" s="98"/>
      <c r="J33" s="98">
        <f>SUM(J30:J32)</f>
        <v>4500</v>
      </c>
      <c r="K33" s="98"/>
      <c r="L33" s="98"/>
      <c r="M33" s="98"/>
      <c r="N33" s="98"/>
      <c r="O33" s="98"/>
      <c r="P33" s="98"/>
      <c r="Q33" s="98"/>
      <c r="R33" s="98">
        <f t="shared" ref="R33:U33" si="8">SUM(R30:R32)</f>
        <v>40000</v>
      </c>
      <c r="S33" s="98">
        <f t="shared" si="8"/>
        <v>0</v>
      </c>
      <c r="T33" s="98">
        <f t="shared" si="8"/>
        <v>0</v>
      </c>
      <c r="U33" s="98">
        <f t="shared" si="8"/>
        <v>62992</v>
      </c>
    </row>
    <row r="34" spans="5:21" x14ac:dyDescent="0.2">
      <c r="E34" s="109"/>
      <c r="F34" s="84"/>
      <c r="G34" s="84"/>
      <c r="H34" s="84"/>
      <c r="I34" s="84"/>
      <c r="J34" s="84"/>
      <c r="K34" s="3"/>
      <c r="L34" s="3"/>
      <c r="M34" s="3"/>
      <c r="N34" s="3"/>
      <c r="O34" s="3"/>
      <c r="P34" s="3"/>
      <c r="Q34" s="3"/>
      <c r="R34" s="3"/>
      <c r="S34" s="3"/>
    </row>
    <row r="35" spans="5:21" s="1" customFormat="1" x14ac:dyDescent="0.2"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3"/>
    </row>
    <row r="36" spans="5:21" s="1" customFormat="1" x14ac:dyDescent="0.2">
      <c r="G36" s="7"/>
      <c r="H36" s="7"/>
      <c r="I36" s="7"/>
      <c r="J36" s="7"/>
      <c r="K36" s="7"/>
      <c r="L36" s="148"/>
      <c r="M36" s="148"/>
      <c r="N36" s="114"/>
      <c r="O36" s="7"/>
      <c r="P36" s="18"/>
      <c r="Q36" s="18">
        <f>SUM(N36:N37)</f>
        <v>0</v>
      </c>
      <c r="R36" s="7"/>
      <c r="S36" s="7"/>
      <c r="T36" s="7"/>
      <c r="U36" s="3"/>
    </row>
    <row r="37" spans="5:21" s="1" customFormat="1" x14ac:dyDescent="0.2">
      <c r="G37" s="7"/>
      <c r="H37" s="7"/>
      <c r="I37" s="7"/>
      <c r="J37" s="7"/>
      <c r="K37" s="7"/>
      <c r="L37" s="148"/>
      <c r="M37" s="148"/>
      <c r="N37" s="114"/>
      <c r="O37" s="7"/>
      <c r="P37" s="18"/>
      <c r="Q37" s="7"/>
      <c r="R37" s="7"/>
      <c r="S37" s="7"/>
      <c r="T37" s="7"/>
      <c r="U37" s="3"/>
    </row>
    <row r="38" spans="5:21" s="1" customFormat="1" x14ac:dyDescent="0.2">
      <c r="E38" s="111"/>
      <c r="F38" s="112"/>
      <c r="G38" s="110"/>
      <c r="H38" s="113"/>
      <c r="I38" s="110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3"/>
    </row>
    <row r="39" spans="5:21" ht="14.25" customHeight="1" x14ac:dyDescent="0.2"/>
    <row r="40" spans="5:21" ht="14.25" customHeight="1" x14ac:dyDescent="0.2"/>
    <row r="41" spans="5:21" ht="14.25" customHeight="1" x14ac:dyDescent="0.2"/>
    <row r="42" spans="5:21" ht="14.25" customHeight="1" x14ac:dyDescent="0.2"/>
    <row r="43" spans="5:21" ht="14.25" customHeight="1" x14ac:dyDescent="0.2"/>
    <row r="44" spans="5:21" ht="14.25" customHeight="1" x14ac:dyDescent="0.2"/>
    <row r="45" spans="5:21" ht="14.25" customHeight="1" x14ac:dyDescent="0.2"/>
    <row r="46" spans="5:21" ht="14.25" customHeight="1" x14ac:dyDescent="0.2"/>
    <row r="47" spans="5:21" ht="14.25" customHeight="1" x14ac:dyDescent="0.2"/>
    <row r="48" spans="5:21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</sheetData>
  <autoFilter ref="B5:T21" xr:uid="{BAEDC793-9B05-4F20-8E5F-43423CB9B3C3}"/>
  <mergeCells count="27">
    <mergeCell ref="B30:B32"/>
    <mergeCell ref="L36:M36"/>
    <mergeCell ref="L37:M37"/>
    <mergeCell ref="H27:S27"/>
    <mergeCell ref="C28:C29"/>
    <mergeCell ref="D28:D29"/>
    <mergeCell ref="E28:E29"/>
    <mergeCell ref="F28:F29"/>
    <mergeCell ref="G28:G29"/>
    <mergeCell ref="H28:J28"/>
    <mergeCell ref="K28:Q28"/>
    <mergeCell ref="R28:S28"/>
    <mergeCell ref="B5:B8"/>
    <mergeCell ref="B9:B12"/>
    <mergeCell ref="B13:B16"/>
    <mergeCell ref="B17:B20"/>
    <mergeCell ref="C26:D26"/>
    <mergeCell ref="B27:G27"/>
    <mergeCell ref="H2:S2"/>
    <mergeCell ref="C3:C4"/>
    <mergeCell ref="D3:D4"/>
    <mergeCell ref="E3:E4"/>
    <mergeCell ref="F3:F4"/>
    <mergeCell ref="G3:G4"/>
    <mergeCell ref="H3:J3"/>
    <mergeCell ref="K3:Q3"/>
    <mergeCell ref="R3:S3"/>
  </mergeCells>
  <pageMargins left="0.7" right="0.7" top="0.75" bottom="0.75" header="0.3" footer="0.3"/>
  <drawing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DC793-9B05-4F20-8E5F-43423CB9B3C3}">
  <dimension ref="B1:U919"/>
  <sheetViews>
    <sheetView showGridLines="0" topLeftCell="B2" zoomScale="80" zoomScaleNormal="80" workbookViewId="0">
      <selection activeCell="K26" sqref="K26"/>
    </sheetView>
  </sheetViews>
  <sheetFormatPr baseColWidth="10" defaultColWidth="13.83203125" defaultRowHeight="16" x14ac:dyDescent="0.2"/>
  <cols>
    <col min="1" max="1" width="3.6640625" style="3" customWidth="1"/>
    <col min="2" max="3" width="13.83203125" style="3"/>
    <col min="4" max="4" width="13.5" style="3" bestFit="1" customWidth="1"/>
    <col min="5" max="5" width="33.83203125" style="3" customWidth="1"/>
    <col min="6" max="6" width="14" style="3" customWidth="1"/>
    <col min="7" max="7" width="17.6640625" style="7" bestFit="1" customWidth="1"/>
    <col min="8" max="8" width="14" style="7" customWidth="1"/>
    <col min="9" max="9" width="15.33203125" style="7" customWidth="1"/>
    <col min="10" max="10" width="14.33203125" style="7" customWidth="1"/>
    <col min="11" max="11" width="12.6640625" style="7" customWidth="1"/>
    <col min="12" max="17" width="14.33203125" style="7" customWidth="1"/>
    <col min="18" max="18" width="11.5" style="7" customWidth="1"/>
    <col min="19" max="19" width="13.83203125" style="7"/>
    <col min="20" max="20" width="16.33203125" style="3" bestFit="1" customWidth="1"/>
    <col min="21" max="16384" width="13.83203125" style="3"/>
  </cols>
  <sheetData>
    <row r="1" spans="2:20" ht="14.25" customHeight="1" x14ac:dyDescent="0.2">
      <c r="D1" s="7"/>
      <c r="E1" s="7"/>
      <c r="F1" s="7"/>
    </row>
    <row r="2" spans="2:20" ht="24" x14ac:dyDescent="0.3">
      <c r="C2" s="11"/>
      <c r="D2" s="11"/>
      <c r="E2" s="7"/>
      <c r="F2" s="7"/>
      <c r="H2" s="129" t="s">
        <v>44</v>
      </c>
      <c r="I2" s="129"/>
      <c r="J2" s="129"/>
      <c r="K2" s="129"/>
      <c r="L2" s="129"/>
      <c r="M2" s="129"/>
      <c r="N2" s="129"/>
      <c r="O2" s="129"/>
      <c r="P2" s="129"/>
      <c r="Q2" s="129"/>
      <c r="R2" s="129"/>
      <c r="S2" s="129"/>
    </row>
    <row r="3" spans="2:20" ht="21" x14ac:dyDescent="0.25">
      <c r="C3" s="131" t="s">
        <v>53</v>
      </c>
      <c r="D3" s="133" t="s">
        <v>48</v>
      </c>
      <c r="E3" s="135" t="s">
        <v>2</v>
      </c>
      <c r="F3" s="135" t="s">
        <v>3</v>
      </c>
      <c r="G3" s="137" t="s">
        <v>4</v>
      </c>
      <c r="H3" s="139" t="s">
        <v>60</v>
      </c>
      <c r="I3" s="140"/>
      <c r="J3" s="140"/>
      <c r="K3" s="139" t="s">
        <v>1</v>
      </c>
      <c r="L3" s="140"/>
      <c r="M3" s="140"/>
      <c r="N3" s="140"/>
      <c r="O3" s="140"/>
      <c r="P3" s="140"/>
      <c r="Q3" s="140"/>
      <c r="R3" s="140"/>
      <c r="S3" s="141"/>
    </row>
    <row r="4" spans="2:20" s="2" customFormat="1" ht="32" x14ac:dyDescent="0.2">
      <c r="C4" s="132"/>
      <c r="D4" s="134"/>
      <c r="E4" s="136"/>
      <c r="F4" s="136"/>
      <c r="G4" s="138"/>
      <c r="H4" s="67" t="s">
        <v>99</v>
      </c>
      <c r="I4" s="43" t="s">
        <v>52</v>
      </c>
      <c r="J4" s="43" t="s">
        <v>62</v>
      </c>
      <c r="K4" s="67" t="s">
        <v>11</v>
      </c>
      <c r="L4" s="67" t="s">
        <v>12</v>
      </c>
      <c r="M4" s="67" t="s">
        <v>13</v>
      </c>
      <c r="N4" s="67" t="s">
        <v>14</v>
      </c>
      <c r="O4" s="67" t="s">
        <v>15</v>
      </c>
      <c r="P4" s="67" t="s">
        <v>16</v>
      </c>
      <c r="Q4" s="43" t="s">
        <v>18</v>
      </c>
      <c r="R4" s="43" t="s">
        <v>100</v>
      </c>
      <c r="S4" s="43" t="s">
        <v>21</v>
      </c>
      <c r="T4" s="101" t="s">
        <v>96</v>
      </c>
    </row>
    <row r="5" spans="2:20" x14ac:dyDescent="0.2">
      <c r="B5" s="128" t="s">
        <v>130</v>
      </c>
      <c r="C5" s="51"/>
      <c r="D5" s="77">
        <v>1</v>
      </c>
      <c r="E5" s="53" t="s">
        <v>41</v>
      </c>
      <c r="F5" s="70" t="s">
        <v>30</v>
      </c>
      <c r="G5" s="55"/>
      <c r="H5" s="55"/>
      <c r="I5" s="55"/>
      <c r="J5" s="92">
        <v>1000</v>
      </c>
      <c r="K5" s="55"/>
      <c r="L5" s="55"/>
      <c r="M5" s="55"/>
      <c r="N5" s="55"/>
      <c r="O5" s="55"/>
      <c r="P5" s="55"/>
      <c r="Q5" s="55"/>
      <c r="R5" s="55"/>
      <c r="S5" s="55"/>
      <c r="T5" s="104">
        <f t="shared" ref="T5:T20" si="0">SUM(Q5:S5)+SUM(I5:J5)</f>
        <v>1000</v>
      </c>
    </row>
    <row r="6" spans="2:20" x14ac:dyDescent="0.2">
      <c r="B6" s="128"/>
      <c r="C6" s="15"/>
      <c r="D6" s="75">
        <v>2</v>
      </c>
      <c r="E6" s="16" t="s">
        <v>84</v>
      </c>
      <c r="F6" s="71" t="s">
        <v>29</v>
      </c>
      <c r="G6" s="33">
        <v>24</v>
      </c>
      <c r="H6" s="5">
        <v>1525.29</v>
      </c>
      <c r="I6" s="17">
        <f t="shared" ref="I6:I7" si="1">H6*G6</f>
        <v>36606.959999999999</v>
      </c>
      <c r="J6" s="17">
        <v>1200</v>
      </c>
      <c r="K6" s="33">
        <v>14</v>
      </c>
      <c r="L6" s="33">
        <v>1</v>
      </c>
      <c r="M6" s="24">
        <v>1200</v>
      </c>
      <c r="N6" s="24">
        <v>35</v>
      </c>
      <c r="O6" s="24">
        <v>30</v>
      </c>
      <c r="P6" s="17">
        <f>M6*0.045</f>
        <v>54</v>
      </c>
      <c r="Q6" s="90">
        <f t="shared" ref="Q6:Q20" si="2">SUM(M6:P6)*K6*L6</f>
        <v>18466</v>
      </c>
      <c r="R6" s="24">
        <v>73300</v>
      </c>
      <c r="S6" s="17">
        <v>84530</v>
      </c>
      <c r="T6" s="104">
        <f>S6+R6+Q6+J6+I6</f>
        <v>214102.96</v>
      </c>
    </row>
    <row r="7" spans="2:20" x14ac:dyDescent="0.2">
      <c r="B7" s="128"/>
      <c r="C7" s="15"/>
      <c r="D7" s="75">
        <v>3</v>
      </c>
      <c r="E7" s="16" t="s">
        <v>36</v>
      </c>
      <c r="F7" s="71" t="s">
        <v>29</v>
      </c>
      <c r="G7" s="8">
        <v>24</v>
      </c>
      <c r="H7" s="5">
        <v>1932.25</v>
      </c>
      <c r="I7" s="17">
        <f t="shared" si="1"/>
        <v>46374</v>
      </c>
      <c r="J7" s="17">
        <v>1200</v>
      </c>
      <c r="K7" s="8">
        <v>14</v>
      </c>
      <c r="L7" s="8">
        <v>1</v>
      </c>
      <c r="M7" s="17">
        <v>1200</v>
      </c>
      <c r="N7" s="17">
        <v>35</v>
      </c>
      <c r="O7" s="17">
        <v>30</v>
      </c>
      <c r="P7" s="17">
        <f>M7*0.03</f>
        <v>36</v>
      </c>
      <c r="Q7" s="91">
        <f t="shared" si="2"/>
        <v>18214</v>
      </c>
      <c r="R7" s="17">
        <v>68794</v>
      </c>
      <c r="S7" s="17"/>
      <c r="T7" s="104">
        <f>R7+Q7+J7+I7</f>
        <v>134582</v>
      </c>
    </row>
    <row r="8" spans="2:20" x14ac:dyDescent="0.2">
      <c r="B8" s="128"/>
      <c r="C8" s="55"/>
      <c r="D8" s="77">
        <v>4</v>
      </c>
      <c r="E8" s="53" t="s">
        <v>49</v>
      </c>
      <c r="F8" s="70" t="s">
        <v>30</v>
      </c>
      <c r="G8" s="55"/>
      <c r="H8" s="57"/>
      <c r="I8" s="57"/>
      <c r="J8" s="57">
        <v>1000</v>
      </c>
      <c r="K8" s="55"/>
      <c r="L8" s="55"/>
      <c r="M8" s="57"/>
      <c r="N8" s="57"/>
      <c r="O8" s="57"/>
      <c r="P8" s="57"/>
      <c r="Q8" s="57">
        <f t="shared" si="2"/>
        <v>0</v>
      </c>
      <c r="R8" s="57"/>
      <c r="S8" s="57"/>
      <c r="T8" s="104">
        <f t="shared" si="0"/>
        <v>1000</v>
      </c>
    </row>
    <row r="9" spans="2:20" x14ac:dyDescent="0.2">
      <c r="B9" s="128" t="s">
        <v>131</v>
      </c>
      <c r="C9" s="51"/>
      <c r="D9" s="77">
        <v>6</v>
      </c>
      <c r="E9" s="53" t="s">
        <v>33</v>
      </c>
      <c r="F9" s="70" t="s">
        <v>30</v>
      </c>
      <c r="G9" s="55"/>
      <c r="H9" s="57"/>
      <c r="I9" s="57"/>
      <c r="J9" s="57">
        <v>1000</v>
      </c>
      <c r="K9" s="55"/>
      <c r="L9" s="55"/>
      <c r="M9" s="57"/>
      <c r="N9" s="57"/>
      <c r="O9" s="57"/>
      <c r="P9" s="57"/>
      <c r="Q9" s="57">
        <f t="shared" si="2"/>
        <v>0</v>
      </c>
      <c r="R9" s="57"/>
      <c r="S9" s="57"/>
      <c r="T9" s="104">
        <f t="shared" si="0"/>
        <v>1000</v>
      </c>
    </row>
    <row r="10" spans="2:20" x14ac:dyDescent="0.2">
      <c r="B10" s="128"/>
      <c r="C10" s="15"/>
      <c r="D10" s="75">
        <v>7</v>
      </c>
      <c r="E10" s="16" t="s">
        <v>35</v>
      </c>
      <c r="F10" s="71" t="s">
        <v>29</v>
      </c>
      <c r="G10" s="8">
        <v>24</v>
      </c>
      <c r="H10" s="5">
        <v>1932.25</v>
      </c>
      <c r="I10" s="17">
        <f t="shared" ref="I10:I11" si="3">H10*G10</f>
        <v>46374</v>
      </c>
      <c r="J10" s="17">
        <v>1200</v>
      </c>
      <c r="K10" s="8">
        <v>14</v>
      </c>
      <c r="L10" s="8">
        <v>1</v>
      </c>
      <c r="M10" s="17">
        <v>1200</v>
      </c>
      <c r="N10" s="17">
        <v>35</v>
      </c>
      <c r="O10" s="17">
        <v>30</v>
      </c>
      <c r="P10" s="17">
        <f t="shared" ref="P10" si="4">M10*0.03</f>
        <v>36</v>
      </c>
      <c r="Q10" s="91">
        <f t="shared" si="2"/>
        <v>18214</v>
      </c>
      <c r="R10" s="17">
        <v>68794</v>
      </c>
      <c r="S10" s="17"/>
      <c r="T10" s="104">
        <f>R10+Q10+J10+I10</f>
        <v>134582</v>
      </c>
    </row>
    <row r="11" spans="2:20" x14ac:dyDescent="0.2">
      <c r="B11" s="128"/>
      <c r="C11" s="15"/>
      <c r="D11" s="75">
        <v>8</v>
      </c>
      <c r="E11" s="16" t="s">
        <v>38</v>
      </c>
      <c r="F11" s="71" t="s">
        <v>29</v>
      </c>
      <c r="G11" s="8">
        <v>24</v>
      </c>
      <c r="H11" s="5">
        <v>1633</v>
      </c>
      <c r="I11" s="17">
        <f t="shared" si="3"/>
        <v>39192</v>
      </c>
      <c r="J11" s="17">
        <v>1200</v>
      </c>
      <c r="K11" s="8">
        <v>14</v>
      </c>
      <c r="L11" s="8">
        <v>1</v>
      </c>
      <c r="M11" s="17">
        <v>1200</v>
      </c>
      <c r="N11" s="17">
        <v>35</v>
      </c>
      <c r="O11" s="17">
        <v>30</v>
      </c>
      <c r="P11" s="17">
        <f>M11*0.045</f>
        <v>54</v>
      </c>
      <c r="Q11" s="91">
        <f t="shared" si="2"/>
        <v>18466</v>
      </c>
      <c r="R11" s="17">
        <v>73300</v>
      </c>
      <c r="S11" s="17"/>
      <c r="T11" s="104">
        <f t="shared" si="0"/>
        <v>132158</v>
      </c>
    </row>
    <row r="12" spans="2:20" x14ac:dyDescent="0.2">
      <c r="B12" s="128"/>
      <c r="C12" s="51"/>
      <c r="D12" s="77">
        <v>9</v>
      </c>
      <c r="E12" s="53" t="s">
        <v>40</v>
      </c>
      <c r="F12" s="70" t="s">
        <v>30</v>
      </c>
      <c r="G12" s="55"/>
      <c r="H12" s="57"/>
      <c r="I12" s="57"/>
      <c r="J12" s="57">
        <v>1000</v>
      </c>
      <c r="K12" s="55"/>
      <c r="L12" s="55"/>
      <c r="M12" s="57"/>
      <c r="N12" s="57"/>
      <c r="O12" s="57"/>
      <c r="P12" s="57"/>
      <c r="Q12" s="57">
        <f t="shared" si="2"/>
        <v>0</v>
      </c>
      <c r="R12" s="57"/>
      <c r="S12" s="57"/>
      <c r="T12" s="104">
        <f t="shared" si="0"/>
        <v>1000</v>
      </c>
    </row>
    <row r="13" spans="2:20" x14ac:dyDescent="0.2">
      <c r="B13" s="128" t="s">
        <v>132</v>
      </c>
      <c r="C13" s="15"/>
      <c r="D13" s="75">
        <v>10</v>
      </c>
      <c r="E13" s="16" t="s">
        <v>33</v>
      </c>
      <c r="F13" s="71" t="s">
        <v>29</v>
      </c>
      <c r="G13" s="8">
        <v>24</v>
      </c>
      <c r="H13" s="17">
        <v>1633</v>
      </c>
      <c r="I13" s="17">
        <f>H13*G13</f>
        <v>39192</v>
      </c>
      <c r="J13" s="17">
        <v>1200</v>
      </c>
      <c r="K13" s="8">
        <v>14</v>
      </c>
      <c r="L13" s="8">
        <v>1</v>
      </c>
      <c r="M13" s="17">
        <v>1200</v>
      </c>
      <c r="N13" s="17">
        <v>35</v>
      </c>
      <c r="O13" s="17">
        <v>30</v>
      </c>
      <c r="P13" s="17">
        <f>M13*0.03</f>
        <v>36</v>
      </c>
      <c r="Q13" s="91">
        <f t="shared" si="2"/>
        <v>18214</v>
      </c>
      <c r="R13" s="17">
        <v>73300</v>
      </c>
      <c r="S13" s="17"/>
      <c r="T13" s="104">
        <f>R13+Q13+J13+I13</f>
        <v>131906</v>
      </c>
    </row>
    <row r="14" spans="2:20" x14ac:dyDescent="0.2">
      <c r="B14" s="128"/>
      <c r="C14" s="51"/>
      <c r="D14" s="77">
        <v>11</v>
      </c>
      <c r="E14" s="53" t="s">
        <v>36</v>
      </c>
      <c r="F14" s="70" t="s">
        <v>30</v>
      </c>
      <c r="G14" s="55"/>
      <c r="H14" s="57"/>
      <c r="I14" s="57"/>
      <c r="J14" s="57">
        <v>1000</v>
      </c>
      <c r="K14" s="55"/>
      <c r="L14" s="55"/>
      <c r="M14" s="57"/>
      <c r="N14" s="57"/>
      <c r="O14" s="57"/>
      <c r="P14" s="57"/>
      <c r="Q14" s="57">
        <f t="shared" si="2"/>
        <v>0</v>
      </c>
      <c r="R14" s="57"/>
      <c r="S14" s="57"/>
      <c r="T14" s="104">
        <f t="shared" si="0"/>
        <v>1000</v>
      </c>
    </row>
    <row r="15" spans="2:20" x14ac:dyDescent="0.2">
      <c r="B15" s="128"/>
      <c r="C15" s="51"/>
      <c r="D15" s="77">
        <v>13</v>
      </c>
      <c r="E15" s="53" t="s">
        <v>84</v>
      </c>
      <c r="F15" s="70" t="s">
        <v>30</v>
      </c>
      <c r="G15" s="55"/>
      <c r="H15" s="57"/>
      <c r="I15" s="57"/>
      <c r="J15" s="57">
        <v>1000</v>
      </c>
      <c r="K15" s="55"/>
      <c r="L15" s="55"/>
      <c r="M15" s="57"/>
      <c r="N15" s="57"/>
      <c r="O15" s="57"/>
      <c r="P15" s="57"/>
      <c r="Q15" s="57">
        <f t="shared" si="2"/>
        <v>0</v>
      </c>
      <c r="R15" s="57"/>
      <c r="S15" s="57"/>
      <c r="T15" s="104">
        <f t="shared" si="0"/>
        <v>1000</v>
      </c>
    </row>
    <row r="16" spans="2:20" x14ac:dyDescent="0.2">
      <c r="B16" s="128"/>
      <c r="C16" s="51"/>
      <c r="D16" s="77">
        <v>14</v>
      </c>
      <c r="E16" s="53" t="s">
        <v>38</v>
      </c>
      <c r="F16" s="70" t="s">
        <v>30</v>
      </c>
      <c r="G16" s="55"/>
      <c r="H16" s="55"/>
      <c r="I16" s="55"/>
      <c r="J16" s="57">
        <v>1000</v>
      </c>
      <c r="K16" s="55"/>
      <c r="L16" s="55"/>
      <c r="M16" s="55"/>
      <c r="N16" s="55"/>
      <c r="O16" s="55"/>
      <c r="P16" s="55"/>
      <c r="Q16" s="55">
        <f t="shared" si="2"/>
        <v>0</v>
      </c>
      <c r="R16" s="55"/>
      <c r="S16" s="57"/>
      <c r="T16" s="104">
        <f t="shared" si="0"/>
        <v>1000</v>
      </c>
    </row>
    <row r="17" spans="2:21" x14ac:dyDescent="0.2">
      <c r="B17" s="128" t="s">
        <v>133</v>
      </c>
      <c r="C17" s="15"/>
      <c r="D17" s="75">
        <v>15</v>
      </c>
      <c r="E17" s="16" t="s">
        <v>41</v>
      </c>
      <c r="F17" s="71" t="s">
        <v>29</v>
      </c>
      <c r="G17" s="8">
        <v>24</v>
      </c>
      <c r="H17" s="5">
        <v>1683</v>
      </c>
      <c r="I17" s="17">
        <f t="shared" ref="I17:I18" si="5">H17*G17</f>
        <v>40392</v>
      </c>
      <c r="J17" s="17">
        <v>1200</v>
      </c>
      <c r="K17" s="8">
        <v>14</v>
      </c>
      <c r="L17" s="8">
        <v>1</v>
      </c>
      <c r="M17" s="8">
        <v>1200</v>
      </c>
      <c r="N17" s="8">
        <v>35</v>
      </c>
      <c r="O17" s="8">
        <v>30</v>
      </c>
      <c r="P17" s="17">
        <f t="shared" ref="P17:P18" si="6">M17*0.03</f>
        <v>36</v>
      </c>
      <c r="Q17" s="91">
        <f t="shared" si="2"/>
        <v>18214</v>
      </c>
      <c r="R17" s="91">
        <v>67300</v>
      </c>
      <c r="S17" s="17"/>
      <c r="T17" s="104">
        <f>R17+Q17+J17+I17</f>
        <v>127106</v>
      </c>
    </row>
    <row r="18" spans="2:21" x14ac:dyDescent="0.2">
      <c r="B18" s="128"/>
      <c r="C18" s="15"/>
      <c r="D18" s="75">
        <v>16</v>
      </c>
      <c r="E18" s="16" t="s">
        <v>40</v>
      </c>
      <c r="F18" s="71" t="s">
        <v>29</v>
      </c>
      <c r="G18" s="8">
        <v>24</v>
      </c>
      <c r="H18" s="8">
        <v>299</v>
      </c>
      <c r="I18" s="17">
        <f t="shared" si="5"/>
        <v>7176</v>
      </c>
      <c r="J18" s="17">
        <v>1200</v>
      </c>
      <c r="K18" s="8"/>
      <c r="L18" s="8"/>
      <c r="M18" s="8"/>
      <c r="N18" s="8"/>
      <c r="O18" s="8"/>
      <c r="P18" s="17">
        <f t="shared" si="6"/>
        <v>0</v>
      </c>
      <c r="Q18" s="91">
        <f t="shared" si="2"/>
        <v>0</v>
      </c>
      <c r="R18" s="91">
        <v>0</v>
      </c>
      <c r="S18" s="17"/>
      <c r="T18" s="104">
        <f t="shared" si="0"/>
        <v>8376</v>
      </c>
    </row>
    <row r="19" spans="2:21" x14ac:dyDescent="0.2">
      <c r="B19" s="128"/>
      <c r="C19" s="51"/>
      <c r="D19" s="77">
        <v>17</v>
      </c>
      <c r="E19" s="53" t="s">
        <v>35</v>
      </c>
      <c r="F19" s="70" t="s">
        <v>30</v>
      </c>
      <c r="G19" s="82"/>
      <c r="H19" s="82"/>
      <c r="I19" s="82"/>
      <c r="J19" s="57">
        <v>1000</v>
      </c>
      <c r="K19" s="54"/>
      <c r="L19" s="54"/>
      <c r="M19" s="54"/>
      <c r="N19" s="83"/>
      <c r="O19" s="83"/>
      <c r="P19" s="83"/>
      <c r="Q19" s="83">
        <f t="shared" si="2"/>
        <v>0</v>
      </c>
      <c r="R19" s="54"/>
      <c r="S19" s="57"/>
      <c r="T19" s="104">
        <f t="shared" si="0"/>
        <v>1000</v>
      </c>
    </row>
    <row r="20" spans="2:21" x14ac:dyDescent="0.2">
      <c r="B20" s="128"/>
      <c r="C20" s="15"/>
      <c r="D20" s="75">
        <v>18</v>
      </c>
      <c r="E20" s="16" t="s">
        <v>49</v>
      </c>
      <c r="F20" s="71" t="s">
        <v>29</v>
      </c>
      <c r="G20" s="20">
        <v>24</v>
      </c>
      <c r="H20" s="5">
        <v>1683</v>
      </c>
      <c r="I20" s="17">
        <f>H20*G20</f>
        <v>40392</v>
      </c>
      <c r="J20" s="17">
        <v>1200</v>
      </c>
      <c r="K20" s="8">
        <v>14</v>
      </c>
      <c r="L20" s="17">
        <v>1</v>
      </c>
      <c r="M20" s="8">
        <v>1200</v>
      </c>
      <c r="N20" s="17">
        <v>35</v>
      </c>
      <c r="O20" s="17">
        <v>30</v>
      </c>
      <c r="P20" s="17">
        <f>M20*0.03</f>
        <v>36</v>
      </c>
      <c r="Q20" s="91">
        <f t="shared" si="2"/>
        <v>18214</v>
      </c>
      <c r="R20" s="91">
        <v>49775</v>
      </c>
      <c r="S20" s="17"/>
      <c r="T20" s="104">
        <f t="shared" si="0"/>
        <v>109581</v>
      </c>
    </row>
    <row r="21" spans="2:21" ht="28.5" customHeight="1" x14ac:dyDescent="0.2">
      <c r="C21" s="12"/>
      <c r="D21" s="35"/>
      <c r="E21" s="36"/>
      <c r="F21" s="13"/>
      <c r="G21" s="59" t="s">
        <v>95</v>
      </c>
      <c r="H21" s="60"/>
      <c r="I21" s="60">
        <f t="shared" ref="I21:S21" si="7">SUM(I4:I20)</f>
        <v>295698.95999999996</v>
      </c>
      <c r="J21" s="60">
        <f t="shared" si="7"/>
        <v>17600</v>
      </c>
      <c r="K21" s="60"/>
      <c r="L21" s="60"/>
      <c r="M21" s="60"/>
      <c r="N21" s="60"/>
      <c r="O21" s="60"/>
      <c r="P21" s="60"/>
      <c r="Q21" s="60">
        <f>Q6+Q7+Q10+Q11+Q13+Q17+Q20</f>
        <v>128002</v>
      </c>
      <c r="R21" s="60">
        <f>R20+R17+R13+R11+R10+R7+R6</f>
        <v>474563</v>
      </c>
      <c r="S21" s="60">
        <f t="shared" si="7"/>
        <v>84530</v>
      </c>
      <c r="T21" s="66">
        <f>T5+T6+T7+T8+T9+T10+T11+T12+T13+T14+T15+T16+T17+T18+T19+T20</f>
        <v>1000393.96</v>
      </c>
    </row>
    <row r="22" spans="2:21" ht="11.25" customHeight="1" x14ac:dyDescent="0.2">
      <c r="C22" s="12"/>
      <c r="D22" s="35"/>
      <c r="E22" s="36"/>
      <c r="F22" s="13"/>
      <c r="H22" s="18"/>
      <c r="I22" s="18"/>
      <c r="J22" s="18"/>
      <c r="M22" s="18"/>
      <c r="N22" s="18"/>
      <c r="O22" s="18"/>
      <c r="P22" s="18"/>
      <c r="Q22" s="18"/>
      <c r="R22" s="18"/>
      <c r="S22" s="18"/>
    </row>
    <row r="23" spans="2:21" ht="14.25" customHeight="1" x14ac:dyDescent="0.2"/>
    <row r="24" spans="2:21" ht="14.25" customHeight="1" x14ac:dyDescent="0.2"/>
    <row r="25" spans="2:21" ht="14.25" customHeight="1" x14ac:dyDescent="0.2"/>
    <row r="26" spans="2:21" ht="14.25" customHeight="1" x14ac:dyDescent="0.25">
      <c r="C26" s="147"/>
      <c r="D26" s="147"/>
      <c r="E26" s="108"/>
      <c r="F26"/>
      <c r="G26"/>
      <c r="H26" s="3"/>
      <c r="I26" s="3"/>
      <c r="J26" s="3"/>
      <c r="K26" s="3"/>
    </row>
    <row r="27" spans="2:21" s="7" customFormat="1" ht="24" x14ac:dyDescent="0.3">
      <c r="B27" s="145" t="s">
        <v>119</v>
      </c>
      <c r="C27" s="145"/>
      <c r="D27" s="145"/>
      <c r="E27" s="145"/>
      <c r="F27" s="145"/>
      <c r="G27" s="145"/>
      <c r="H27" s="129" t="s">
        <v>44</v>
      </c>
      <c r="I27" s="129"/>
      <c r="J27" s="129"/>
      <c r="K27" s="129"/>
      <c r="L27" s="129"/>
      <c r="M27" s="129"/>
      <c r="N27" s="129"/>
      <c r="O27" s="129"/>
      <c r="P27" s="129"/>
      <c r="Q27" s="129"/>
      <c r="R27" s="129"/>
      <c r="S27" s="129"/>
      <c r="T27" s="116"/>
    </row>
    <row r="28" spans="2:21" s="7" customFormat="1" ht="21" x14ac:dyDescent="0.25">
      <c r="C28" s="131" t="s">
        <v>53</v>
      </c>
      <c r="D28" s="133" t="s">
        <v>48</v>
      </c>
      <c r="E28" s="135" t="s">
        <v>2</v>
      </c>
      <c r="F28" s="135" t="s">
        <v>3</v>
      </c>
      <c r="G28" s="137" t="s">
        <v>4</v>
      </c>
      <c r="H28" s="139" t="s">
        <v>60</v>
      </c>
      <c r="I28" s="140"/>
      <c r="J28" s="140"/>
      <c r="K28" s="139"/>
      <c r="L28" s="140"/>
      <c r="M28" s="140"/>
      <c r="N28" s="140"/>
      <c r="O28" s="140"/>
      <c r="P28" s="140"/>
      <c r="Q28" s="140"/>
      <c r="R28" s="140"/>
      <c r="S28" s="141"/>
      <c r="T28" s="115"/>
    </row>
    <row r="29" spans="2:21" s="14" customFormat="1" ht="72.5" customHeight="1" x14ac:dyDescent="0.2">
      <c r="C29" s="131"/>
      <c r="D29" s="133"/>
      <c r="E29" s="135"/>
      <c r="F29" s="135"/>
      <c r="G29" s="137"/>
      <c r="H29" s="50" t="s">
        <v>99</v>
      </c>
      <c r="I29" s="43" t="s">
        <v>52</v>
      </c>
      <c r="J29" s="43" t="s">
        <v>62</v>
      </c>
      <c r="K29" s="50"/>
      <c r="L29" s="50"/>
      <c r="M29" s="50"/>
      <c r="N29" s="50"/>
      <c r="O29" s="50"/>
      <c r="P29" s="50"/>
      <c r="Q29" s="43"/>
      <c r="R29" s="43" t="s">
        <v>100</v>
      </c>
      <c r="S29" s="43"/>
      <c r="T29" s="43"/>
      <c r="U29" s="101" t="s">
        <v>96</v>
      </c>
    </row>
    <row r="30" spans="2:21" s="7" customFormat="1" ht="15.5" customHeight="1" x14ac:dyDescent="0.2">
      <c r="B30" s="128" t="s">
        <v>138</v>
      </c>
      <c r="C30" s="51"/>
      <c r="D30" s="52"/>
      <c r="E30" s="53"/>
      <c r="F30" s="54" t="s">
        <v>30</v>
      </c>
      <c r="G30" s="55">
        <v>24</v>
      </c>
      <c r="H30" s="5"/>
      <c r="I30" s="85">
        <f>H30*G30</f>
        <v>0</v>
      </c>
      <c r="J30" s="86">
        <v>1500</v>
      </c>
      <c r="K30" s="55"/>
      <c r="L30" s="55"/>
      <c r="M30" s="86"/>
      <c r="N30" s="55"/>
      <c r="O30" s="86"/>
      <c r="P30" s="86"/>
      <c r="Q30" s="86"/>
      <c r="R30" s="86"/>
      <c r="S30" s="55"/>
      <c r="T30" s="105"/>
      <c r="U30" s="100">
        <f>SUM(Q30:T30)+SUM(I30:J30)</f>
        <v>1500</v>
      </c>
    </row>
    <row r="31" spans="2:21" s="7" customFormat="1" ht="15.5" customHeight="1" x14ac:dyDescent="0.2">
      <c r="B31" s="128"/>
      <c r="C31" s="15"/>
      <c r="D31" s="32"/>
      <c r="E31" s="16" t="s">
        <v>134</v>
      </c>
      <c r="F31" s="9" t="s">
        <v>29</v>
      </c>
      <c r="G31" s="8">
        <v>24</v>
      </c>
      <c r="H31" s="5">
        <v>770.5</v>
      </c>
      <c r="I31" s="17">
        <f>H31*G31</f>
        <v>18492</v>
      </c>
      <c r="J31" s="17">
        <v>1500</v>
      </c>
      <c r="K31" s="8"/>
      <c r="L31" s="8"/>
      <c r="M31" s="5"/>
      <c r="N31" s="17"/>
      <c r="O31" s="17"/>
      <c r="P31" s="17"/>
      <c r="Q31" s="91"/>
      <c r="R31" s="17">
        <v>40000</v>
      </c>
      <c r="S31" s="17"/>
      <c r="T31" s="103"/>
      <c r="U31" s="100">
        <f>SUM(Q31:T31)+SUM(I31:J31)</f>
        <v>59992</v>
      </c>
    </row>
    <row r="32" spans="2:21" s="7" customFormat="1" ht="15.5" customHeight="1" x14ac:dyDescent="0.2">
      <c r="B32" s="128"/>
      <c r="C32" s="51"/>
      <c r="D32" s="52"/>
      <c r="E32" s="53"/>
      <c r="F32" s="54" t="s">
        <v>30</v>
      </c>
      <c r="G32" s="55">
        <v>24</v>
      </c>
      <c r="H32" s="57"/>
      <c r="I32" s="57">
        <f>H32*G32</f>
        <v>0</v>
      </c>
      <c r="J32" s="57">
        <v>1500</v>
      </c>
      <c r="K32" s="55"/>
      <c r="L32" s="55"/>
      <c r="M32" s="57"/>
      <c r="N32" s="57"/>
      <c r="O32" s="57"/>
      <c r="P32" s="57"/>
      <c r="Q32" s="57"/>
      <c r="R32" s="57"/>
      <c r="S32" s="57"/>
      <c r="T32" s="105"/>
      <c r="U32" s="100">
        <f>SUM(Q32:T32)+SUM(I32:J32)</f>
        <v>1500</v>
      </c>
    </row>
    <row r="33" spans="5:21" s="87" customFormat="1" ht="14.25" customHeight="1" x14ac:dyDescent="0.2">
      <c r="G33" s="98"/>
      <c r="H33" s="98"/>
      <c r="I33" s="98"/>
      <c r="J33" s="98">
        <f>SUM(J30:J32)</f>
        <v>4500</v>
      </c>
      <c r="K33" s="98"/>
      <c r="L33" s="98"/>
      <c r="M33" s="98"/>
      <c r="N33" s="98"/>
      <c r="O33" s="98"/>
      <c r="P33" s="98"/>
      <c r="Q33" s="98"/>
      <c r="R33" s="98">
        <f t="shared" ref="R33:U33" si="8">SUM(R30:R32)</f>
        <v>40000</v>
      </c>
      <c r="S33" s="98">
        <f t="shared" si="8"/>
        <v>0</v>
      </c>
      <c r="T33" s="98">
        <f t="shared" si="8"/>
        <v>0</v>
      </c>
      <c r="U33" s="98">
        <f t="shared" si="8"/>
        <v>62992</v>
      </c>
    </row>
    <row r="34" spans="5:21" x14ac:dyDescent="0.2">
      <c r="E34" s="109"/>
      <c r="F34" s="84"/>
      <c r="G34" s="84"/>
      <c r="H34" s="84"/>
      <c r="I34" s="84"/>
      <c r="J34" s="84"/>
      <c r="K34" s="3"/>
      <c r="L34" s="3"/>
      <c r="M34" s="3"/>
      <c r="N34" s="3"/>
      <c r="O34" s="3"/>
      <c r="P34" s="3"/>
      <c r="Q34" s="3"/>
      <c r="R34" s="3"/>
      <c r="S34" s="3"/>
    </row>
    <row r="35" spans="5:21" s="1" customFormat="1" x14ac:dyDescent="0.2"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3"/>
    </row>
    <row r="36" spans="5:21" s="1" customFormat="1" x14ac:dyDescent="0.2">
      <c r="G36" s="7"/>
      <c r="H36" s="7"/>
      <c r="I36" s="7"/>
      <c r="J36" s="7"/>
      <c r="K36" s="7"/>
      <c r="L36" s="148"/>
      <c r="M36" s="148"/>
      <c r="N36" s="114"/>
      <c r="O36" s="7"/>
      <c r="P36" s="18"/>
      <c r="Q36" s="18">
        <f>SUM(N36:N37)</f>
        <v>0</v>
      </c>
      <c r="R36" s="7"/>
      <c r="S36" s="7"/>
      <c r="T36" s="7"/>
      <c r="U36" s="3"/>
    </row>
    <row r="37" spans="5:21" s="1" customFormat="1" x14ac:dyDescent="0.2">
      <c r="G37" s="7"/>
      <c r="H37" s="7"/>
      <c r="I37" s="7"/>
      <c r="J37" s="7"/>
      <c r="K37" s="7"/>
      <c r="L37" s="148"/>
      <c r="M37" s="148"/>
      <c r="N37" s="114"/>
      <c r="O37" s="7"/>
      <c r="P37" s="18"/>
      <c r="Q37" s="7"/>
      <c r="R37" s="7"/>
      <c r="S37" s="7"/>
      <c r="T37" s="7"/>
      <c r="U37" s="3"/>
    </row>
    <row r="38" spans="5:21" s="1" customFormat="1" x14ac:dyDescent="0.2">
      <c r="E38" s="111"/>
      <c r="F38" s="112"/>
      <c r="G38" s="110"/>
      <c r="H38" s="113"/>
      <c r="I38" s="110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3"/>
    </row>
    <row r="39" spans="5:21" ht="14.25" customHeight="1" x14ac:dyDescent="0.2"/>
    <row r="40" spans="5:21" ht="14.25" customHeight="1" x14ac:dyDescent="0.2"/>
    <row r="41" spans="5:21" ht="14.25" customHeight="1" x14ac:dyDescent="0.2"/>
    <row r="42" spans="5:21" ht="14.25" customHeight="1" x14ac:dyDescent="0.2"/>
    <row r="43" spans="5:21" ht="14.25" customHeight="1" x14ac:dyDescent="0.2"/>
    <row r="44" spans="5:21" ht="14.25" customHeight="1" x14ac:dyDescent="0.2"/>
    <row r="45" spans="5:21" ht="14.25" customHeight="1" x14ac:dyDescent="0.2"/>
    <row r="46" spans="5:21" ht="14.25" customHeight="1" x14ac:dyDescent="0.2"/>
    <row r="47" spans="5:21" ht="14.25" customHeight="1" x14ac:dyDescent="0.2"/>
    <row r="48" spans="5:21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</sheetData>
  <autoFilter ref="B5:T21" xr:uid="{BAEDC793-9B05-4F20-8E5F-43423CB9B3C3}"/>
  <mergeCells count="27">
    <mergeCell ref="L36:M36"/>
    <mergeCell ref="L37:M37"/>
    <mergeCell ref="R3:S3"/>
    <mergeCell ref="E3:E4"/>
    <mergeCell ref="F3:F4"/>
    <mergeCell ref="H2:S2"/>
    <mergeCell ref="H3:J3"/>
    <mergeCell ref="K3:Q3"/>
    <mergeCell ref="B5:B8"/>
    <mergeCell ref="B9:B12"/>
    <mergeCell ref="C3:C4"/>
    <mergeCell ref="D3:D4"/>
    <mergeCell ref="G3:G4"/>
    <mergeCell ref="C26:D26"/>
    <mergeCell ref="B27:G27"/>
    <mergeCell ref="H27:S27"/>
    <mergeCell ref="B30:B32"/>
    <mergeCell ref="B13:B16"/>
    <mergeCell ref="B17:B20"/>
    <mergeCell ref="C28:C29"/>
    <mergeCell ref="D28:D29"/>
    <mergeCell ref="E28:E29"/>
    <mergeCell ref="F28:F29"/>
    <mergeCell ref="G28:G29"/>
    <mergeCell ref="H28:J28"/>
    <mergeCell ref="K28:Q28"/>
    <mergeCell ref="R28:S28"/>
  </mergeCells>
  <pageMargins left="0.7" right="0.7" top="0.75" bottom="0.75" header="0.3" footer="0.3"/>
  <ignoredErrors>
    <ignoredError sqref="C21" twoDigitTextYear="1"/>
  </ignoredErrors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13</vt:i4>
      </vt:variant>
    </vt:vector>
  </HeadingPairs>
  <TitlesOfParts>
    <vt:vector size="13" baseType="lpstr">
      <vt:lpstr>Soporte GV 4a Div</vt:lpstr>
      <vt:lpstr>Soporte GV 5a Div</vt:lpstr>
      <vt:lpstr>Soporte GV 6a Div</vt:lpstr>
      <vt:lpstr>Soporte GV 7a Div</vt:lpstr>
      <vt:lpstr>Soporte GV 8a Div</vt:lpstr>
      <vt:lpstr>Soporte GV 9a Div</vt:lpstr>
      <vt:lpstr>Soporte GV 10a Div</vt:lpstr>
      <vt:lpstr>Soporte GV 11a Div</vt:lpstr>
      <vt:lpstr>Soporte GV 12a Div</vt:lpstr>
      <vt:lpstr>Femenil</vt:lpstr>
      <vt:lpstr>Femenil (2)</vt:lpstr>
      <vt:lpstr>Femenil Sub 19 (2)</vt:lpstr>
      <vt:lpstr>Femenil Sub 19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ORL-10265</dc:creator>
  <cp:lastModifiedBy>María Fernanda Delmar Haro</cp:lastModifiedBy>
  <dcterms:created xsi:type="dcterms:W3CDTF">2021-07-01T19:34:16Z</dcterms:created>
  <dcterms:modified xsi:type="dcterms:W3CDTF">2024-03-18T05:55:52Z</dcterms:modified>
</cp:coreProperties>
</file>